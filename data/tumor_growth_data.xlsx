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sardanyes/Desktop/CNIO_Nabil/"/>
    </mc:Choice>
  </mc:AlternateContent>
  <xr:revisionPtr revIDLastSave="0" documentId="13_ncr:1_{F2BA049F-0FB3-A94D-8B70-781A45CC5FFE}" xr6:coauthVersionLast="47" xr6:coauthVersionMax="47" xr10:uidLastSave="{00000000-0000-0000-0000-000000000000}"/>
  <bookViews>
    <workbookView xWindow="1260" yWindow="1720" windowWidth="27640" windowHeight="16940" xr2:uid="{FF8F9993-5C39-4D45-A52D-6F423E715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4" i="1" l="1"/>
  <c r="AI24" i="1"/>
  <c r="AF24" i="1"/>
  <c r="AC24" i="1"/>
  <c r="AL23" i="1"/>
  <c r="AI23" i="1"/>
  <c r="AF23" i="1"/>
  <c r="AC23" i="1"/>
  <c r="AL22" i="1"/>
  <c r="AI22" i="1"/>
  <c r="AF22" i="1"/>
  <c r="AC22" i="1"/>
  <c r="AL21" i="1"/>
  <c r="AI21" i="1"/>
  <c r="AF21" i="1"/>
  <c r="AC21" i="1"/>
  <c r="BD20" i="1"/>
  <c r="AR20" i="1"/>
  <c r="AO20" i="1"/>
  <c r="AL20" i="1"/>
  <c r="AI20" i="1"/>
  <c r="AF20" i="1"/>
  <c r="AC20" i="1"/>
  <c r="BD19" i="1"/>
  <c r="BA19" i="1"/>
  <c r="AR19" i="1"/>
  <c r="AO19" i="1"/>
  <c r="AL19" i="1"/>
  <c r="AI19" i="1"/>
  <c r="AF19" i="1"/>
  <c r="AC19" i="1"/>
  <c r="BD18" i="1"/>
  <c r="BA18" i="1"/>
  <c r="AX18" i="1"/>
  <c r="AU18" i="1"/>
  <c r="AR18" i="1"/>
  <c r="AO18" i="1"/>
  <c r="AL18" i="1"/>
  <c r="AI18" i="1"/>
  <c r="AF18" i="1"/>
  <c r="AC18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E13" i="1"/>
  <c r="BJ12" i="1"/>
  <c r="BG12" i="1"/>
  <c r="BD12" i="1"/>
  <c r="BA12" i="1"/>
  <c r="AX12" i="1"/>
  <c r="AU12" i="1"/>
  <c r="AL12" i="1"/>
  <c r="AI12" i="1"/>
  <c r="AF12" i="1"/>
  <c r="AC12" i="1"/>
  <c r="Z12" i="1"/>
  <c r="W12" i="1"/>
  <c r="T12" i="1"/>
  <c r="Q12" i="1"/>
  <c r="N12" i="1"/>
  <c r="K12" i="1"/>
  <c r="H12" i="1"/>
  <c r="E12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E11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E10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E9" i="1"/>
  <c r="BJ8" i="1"/>
  <c r="BG8" i="1"/>
  <c r="BD8" i="1"/>
  <c r="BA8" i="1"/>
  <c r="AX8" i="1"/>
  <c r="AU8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E8" i="1"/>
  <c r="BJ7" i="1"/>
  <c r="BG7" i="1"/>
  <c r="BD7" i="1"/>
  <c r="BA7" i="1"/>
  <c r="AX7" i="1"/>
  <c r="AU7" i="1"/>
  <c r="AR7" i="1"/>
  <c r="AO7" i="1"/>
  <c r="AL7" i="1"/>
  <c r="AI7" i="1"/>
  <c r="AF7" i="1"/>
  <c r="AC7" i="1"/>
  <c r="Z7" i="1"/>
  <c r="W7" i="1"/>
  <c r="T7" i="1"/>
  <c r="Q7" i="1"/>
  <c r="N7" i="1"/>
  <c r="K7" i="1"/>
  <c r="H7" i="1"/>
  <c r="E7" i="1"/>
  <c r="BJ6" i="1"/>
  <c r="BG6" i="1"/>
  <c r="BD6" i="1"/>
  <c r="BA6" i="1"/>
  <c r="AX6" i="1"/>
  <c r="AU6" i="1"/>
  <c r="AR6" i="1"/>
  <c r="AO6" i="1"/>
  <c r="AL6" i="1"/>
  <c r="AI6" i="1"/>
  <c r="AF6" i="1"/>
  <c r="AC6" i="1"/>
  <c r="Z6" i="1"/>
  <c r="W6" i="1"/>
  <c r="T6" i="1"/>
  <c r="Q6" i="1"/>
  <c r="N6" i="1"/>
  <c r="K6" i="1"/>
  <c r="H6" i="1"/>
  <c r="E6" i="1"/>
  <c r="BJ5" i="1"/>
  <c r="BG5" i="1"/>
  <c r="BD5" i="1"/>
  <c r="BA5" i="1"/>
  <c r="AX5" i="1"/>
  <c r="AU5" i="1"/>
  <c r="AR5" i="1"/>
  <c r="AO5" i="1"/>
  <c r="AL5" i="1"/>
  <c r="AI5" i="1"/>
  <c r="AF5" i="1"/>
  <c r="AC5" i="1"/>
  <c r="Z5" i="1"/>
  <c r="W5" i="1"/>
  <c r="T5" i="1"/>
  <c r="Q5" i="1"/>
  <c r="N5" i="1"/>
  <c r="K5" i="1"/>
  <c r="H5" i="1"/>
  <c r="E5" i="1"/>
  <c r="AX4" i="1"/>
  <c r="AU4" i="1"/>
  <c r="AR4" i="1"/>
  <c r="AO4" i="1"/>
  <c r="AL4" i="1"/>
  <c r="AI4" i="1"/>
  <c r="AF4" i="1"/>
  <c r="AC4" i="1"/>
  <c r="Z4" i="1"/>
  <c r="W4" i="1"/>
  <c r="T4" i="1"/>
  <c r="Q4" i="1"/>
  <c r="E4" i="1"/>
</calcChain>
</file>

<file path=xl/sharedStrings.xml><?xml version="1.0" encoding="utf-8"?>
<sst xmlns="http://schemas.openxmlformats.org/spreadsheetml/2006/main" count="84" uniqueCount="19">
  <si>
    <t>Not-treated</t>
  </si>
  <si>
    <t>Lenvatinib/gefitinib treated (L/G)</t>
  </si>
  <si>
    <t>Time after L/G treatment initiation (days)</t>
  </si>
  <si>
    <t>Tumor 1</t>
  </si>
  <si>
    <t>Tumor 2</t>
  </si>
  <si>
    <t>Tumor 3</t>
  </si>
  <si>
    <t>Tumor 4</t>
  </si>
  <si>
    <t>Tumor 5</t>
  </si>
  <si>
    <t>Tumor 6</t>
  </si>
  <si>
    <t>Tumor 7</t>
  </si>
  <si>
    <t>Tumor 8</t>
  </si>
  <si>
    <t>Tumor 9</t>
  </si>
  <si>
    <t>Tumor 10</t>
  </si>
  <si>
    <t>Tumor 11</t>
  </si>
  <si>
    <t>Tumor 12</t>
  </si>
  <si>
    <t>Diameter (mm)</t>
  </si>
  <si>
    <t>Short</t>
  </si>
  <si>
    <t>Large</t>
  </si>
  <si>
    <t>Volume (mm3)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</si>
</sst>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>
      <alignment horizontal="center" vertical="center"/>
    </xf>
    <xf numFmtId="0" fontId="3" fillId="4" borderId="12" xfId="0" applyFont="1" applyFill="1" applyBorder="1"/>
    <xf numFmtId="0" fontId="3" fillId="4" borderId="13" xfId="0" applyFont="1" applyFill="1" applyBorder="1"/>
    <xf numFmtId="2" fontId="3" fillId="6" borderId="11" xfId="0" applyNumberFormat="1" applyFont="1" applyFill="1" applyBorder="1" applyAlignment="1">
      <alignment horizontal="center" vertical="center"/>
    </xf>
    <xf numFmtId="0" fontId="3" fillId="4" borderId="14" xfId="0" applyFont="1" applyFill="1" applyBorder="1"/>
    <xf numFmtId="0" fontId="3" fillId="4" borderId="15" xfId="0" applyFont="1" applyFill="1" applyBorder="1"/>
    <xf numFmtId="0" fontId="2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6" xfId="0" applyFont="1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20" xfId="0" applyFont="1" applyFill="1" applyBorder="1"/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6" xfId="0" applyFont="1" applyFill="1" applyBorder="1"/>
    <xf numFmtId="0" fontId="3" fillId="4" borderId="25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14DF-1DED-BD48-BB22-4B5F43A75F19}">
  <dimension ref="B1:BJ24"/>
  <sheetViews>
    <sheetView tabSelected="1" workbookViewId="0">
      <selection activeCell="E4" sqref="E4"/>
    </sheetView>
  </sheetViews>
  <sheetFormatPr baseColWidth="10" defaultRowHeight="16" x14ac:dyDescent="0.2"/>
  <cols>
    <col min="2" max="2" width="33.1640625" customWidth="1"/>
  </cols>
  <sheetData>
    <row r="1" spans="2:62" ht="17" thickBot="1" x14ac:dyDescent="0.25">
      <c r="C1" s="63" t="s">
        <v>0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5"/>
      <c r="AA1" s="66" t="s">
        <v>1</v>
      </c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8"/>
    </row>
    <row r="2" spans="2:62" ht="17" thickBot="1" x14ac:dyDescent="0.25">
      <c r="B2" s="1" t="s">
        <v>2</v>
      </c>
      <c r="C2" s="69" t="s">
        <v>3</v>
      </c>
      <c r="D2" s="70"/>
      <c r="E2" s="71"/>
      <c r="F2" s="63" t="s">
        <v>4</v>
      </c>
      <c r="G2" s="64"/>
      <c r="H2" s="65"/>
      <c r="I2" s="63" t="s">
        <v>5</v>
      </c>
      <c r="J2" s="64"/>
      <c r="K2" s="65"/>
      <c r="L2" s="63" t="s">
        <v>6</v>
      </c>
      <c r="M2" s="64"/>
      <c r="N2" s="65"/>
      <c r="O2" s="63" t="s">
        <v>7</v>
      </c>
      <c r="P2" s="64"/>
      <c r="Q2" s="65"/>
      <c r="R2" s="63" t="s">
        <v>8</v>
      </c>
      <c r="S2" s="64"/>
      <c r="T2" s="65"/>
      <c r="U2" s="63" t="s">
        <v>9</v>
      </c>
      <c r="V2" s="64"/>
      <c r="W2" s="65"/>
      <c r="X2" s="63" t="s">
        <v>10</v>
      </c>
      <c r="Y2" s="64"/>
      <c r="Z2" s="65"/>
      <c r="AA2" s="60" t="s">
        <v>3</v>
      </c>
      <c r="AB2" s="61"/>
      <c r="AC2" s="62"/>
      <c r="AD2" s="60" t="s">
        <v>4</v>
      </c>
      <c r="AE2" s="61"/>
      <c r="AF2" s="62"/>
      <c r="AG2" s="60" t="s">
        <v>5</v>
      </c>
      <c r="AH2" s="61"/>
      <c r="AI2" s="62"/>
      <c r="AJ2" s="60" t="s">
        <v>6</v>
      </c>
      <c r="AK2" s="61"/>
      <c r="AL2" s="62"/>
      <c r="AM2" s="60" t="s">
        <v>7</v>
      </c>
      <c r="AN2" s="61"/>
      <c r="AO2" s="62"/>
      <c r="AP2" s="60" t="s">
        <v>8</v>
      </c>
      <c r="AQ2" s="61"/>
      <c r="AR2" s="62"/>
      <c r="AS2" s="60" t="s">
        <v>9</v>
      </c>
      <c r="AT2" s="61"/>
      <c r="AU2" s="62"/>
      <c r="AV2" s="60" t="s">
        <v>10</v>
      </c>
      <c r="AW2" s="61"/>
      <c r="AX2" s="62"/>
      <c r="AY2" s="60" t="s">
        <v>11</v>
      </c>
      <c r="AZ2" s="61"/>
      <c r="BA2" s="62"/>
      <c r="BB2" s="60" t="s">
        <v>12</v>
      </c>
      <c r="BC2" s="61"/>
      <c r="BD2" s="62"/>
      <c r="BE2" s="60" t="s">
        <v>13</v>
      </c>
      <c r="BF2" s="61"/>
      <c r="BG2" s="62"/>
      <c r="BH2" s="60" t="s">
        <v>14</v>
      </c>
      <c r="BI2" s="61"/>
      <c r="BJ2" s="62"/>
    </row>
    <row r="3" spans="2:62" ht="17" thickBot="1" x14ac:dyDescent="0.25">
      <c r="B3" s="1" t="s">
        <v>15</v>
      </c>
      <c r="C3" s="2" t="s">
        <v>16</v>
      </c>
      <c r="D3" s="3" t="s">
        <v>17</v>
      </c>
      <c r="E3" s="4" t="s">
        <v>18</v>
      </c>
      <c r="F3" s="2" t="s">
        <v>16</v>
      </c>
      <c r="G3" s="3" t="s">
        <v>17</v>
      </c>
      <c r="H3" s="4" t="s">
        <v>18</v>
      </c>
      <c r="I3" s="2" t="s">
        <v>16</v>
      </c>
      <c r="J3" s="3" t="s">
        <v>17</v>
      </c>
      <c r="K3" s="4" t="s">
        <v>18</v>
      </c>
      <c r="L3" s="2" t="s">
        <v>16</v>
      </c>
      <c r="M3" s="3" t="s">
        <v>17</v>
      </c>
      <c r="N3" s="4" t="s">
        <v>18</v>
      </c>
      <c r="O3" s="2" t="s">
        <v>16</v>
      </c>
      <c r="P3" s="3" t="s">
        <v>17</v>
      </c>
      <c r="Q3" s="4" t="s">
        <v>18</v>
      </c>
      <c r="R3" s="2" t="s">
        <v>16</v>
      </c>
      <c r="S3" s="3" t="s">
        <v>17</v>
      </c>
      <c r="T3" s="4" t="s">
        <v>18</v>
      </c>
      <c r="U3" s="2" t="s">
        <v>16</v>
      </c>
      <c r="V3" s="4" t="s">
        <v>17</v>
      </c>
      <c r="W3" s="1" t="s">
        <v>18</v>
      </c>
      <c r="X3" s="2" t="s">
        <v>16</v>
      </c>
      <c r="Y3" s="4" t="s">
        <v>17</v>
      </c>
      <c r="Z3" s="1" t="s">
        <v>18</v>
      </c>
      <c r="AA3" s="2" t="s">
        <v>16</v>
      </c>
      <c r="AB3" s="3" t="s">
        <v>17</v>
      </c>
      <c r="AC3" s="1" t="s">
        <v>18</v>
      </c>
      <c r="AD3" s="2" t="s">
        <v>16</v>
      </c>
      <c r="AE3" s="3" t="s">
        <v>17</v>
      </c>
      <c r="AF3" s="1" t="s">
        <v>18</v>
      </c>
      <c r="AG3" s="2" t="s">
        <v>16</v>
      </c>
      <c r="AH3" s="3" t="s">
        <v>17</v>
      </c>
      <c r="AI3" s="1" t="s">
        <v>18</v>
      </c>
      <c r="AJ3" s="2" t="s">
        <v>16</v>
      </c>
      <c r="AK3" s="3" t="s">
        <v>17</v>
      </c>
      <c r="AL3" s="1" t="s">
        <v>18</v>
      </c>
      <c r="AM3" s="2" t="s">
        <v>16</v>
      </c>
      <c r="AN3" s="3" t="s">
        <v>17</v>
      </c>
      <c r="AO3" s="1" t="s">
        <v>18</v>
      </c>
      <c r="AP3" s="2" t="s">
        <v>16</v>
      </c>
      <c r="AQ3" s="3" t="s">
        <v>17</v>
      </c>
      <c r="AR3" s="1" t="s">
        <v>18</v>
      </c>
      <c r="AS3" s="2" t="s">
        <v>16</v>
      </c>
      <c r="AT3" s="3" t="s">
        <v>17</v>
      </c>
      <c r="AU3" s="1" t="s">
        <v>18</v>
      </c>
      <c r="AV3" s="2" t="s">
        <v>16</v>
      </c>
      <c r="AW3" s="3" t="s">
        <v>17</v>
      </c>
      <c r="AX3" s="1" t="s">
        <v>18</v>
      </c>
      <c r="AY3" s="2" t="s">
        <v>16</v>
      </c>
      <c r="AZ3" s="3" t="s">
        <v>17</v>
      </c>
      <c r="BA3" s="1" t="s">
        <v>18</v>
      </c>
      <c r="BB3" s="2" t="s">
        <v>16</v>
      </c>
      <c r="BC3" s="3" t="s">
        <v>17</v>
      </c>
      <c r="BD3" s="1" t="s">
        <v>18</v>
      </c>
      <c r="BE3" s="2" t="s">
        <v>16</v>
      </c>
      <c r="BF3" s="3" t="s">
        <v>17</v>
      </c>
      <c r="BG3" s="1" t="s">
        <v>18</v>
      </c>
      <c r="BH3" s="4" t="s">
        <v>16</v>
      </c>
      <c r="BI3" s="3" t="s">
        <v>17</v>
      </c>
      <c r="BJ3" s="1" t="s">
        <v>18</v>
      </c>
    </row>
    <row r="4" spans="2:62" x14ac:dyDescent="0.2">
      <c r="B4" s="5">
        <v>0</v>
      </c>
      <c r="C4" s="6">
        <v>5.94</v>
      </c>
      <c r="D4" s="7">
        <v>6.81</v>
      </c>
      <c r="E4" s="8">
        <f>(C4^2*D4)/2</f>
        <v>120.14065800000002</v>
      </c>
      <c r="F4" s="6"/>
      <c r="G4" s="9"/>
      <c r="H4" s="8"/>
      <c r="I4" s="6"/>
      <c r="J4" s="9"/>
      <c r="K4" s="8"/>
      <c r="L4" s="6"/>
      <c r="M4" s="9"/>
      <c r="N4" s="8"/>
      <c r="O4" s="6">
        <v>4.0599999999999996</v>
      </c>
      <c r="P4" s="9">
        <v>9.32</v>
      </c>
      <c r="Q4" s="8">
        <f t="shared" ref="Q4:Q14" si="0">(O4^2*P4)/2</f>
        <v>76.813575999999983</v>
      </c>
      <c r="R4" s="6">
        <v>7.15</v>
      </c>
      <c r="S4" s="9">
        <v>9.31</v>
      </c>
      <c r="T4" s="8">
        <f>(R4^2*S4)/2</f>
        <v>237.97523750000002</v>
      </c>
      <c r="U4" s="6">
        <v>5.84</v>
      </c>
      <c r="V4" s="10">
        <v>5.85</v>
      </c>
      <c r="W4" s="11">
        <f>(U4^2*V4)/2</f>
        <v>99.758879999999976</v>
      </c>
      <c r="X4" s="6">
        <v>3.76</v>
      </c>
      <c r="Y4" s="10">
        <v>10.78</v>
      </c>
      <c r="Z4" s="11">
        <f>(X4^2*Y4)/2</f>
        <v>76.201663999999994</v>
      </c>
      <c r="AA4" s="12">
        <v>5.43</v>
      </c>
      <c r="AB4" s="13">
        <v>5.51</v>
      </c>
      <c r="AC4" s="14">
        <f>(AA4^2*AB4)/2</f>
        <v>81.230899499999992</v>
      </c>
      <c r="AD4" s="12">
        <v>5.01</v>
      </c>
      <c r="AE4" s="15">
        <v>8.23</v>
      </c>
      <c r="AF4" s="14">
        <f>(AD4^2*AE4)/2</f>
        <v>103.2869115</v>
      </c>
      <c r="AG4" s="12">
        <v>4.5</v>
      </c>
      <c r="AH4" s="15">
        <v>9.0500000000000007</v>
      </c>
      <c r="AI4" s="14">
        <f>(AG4^2*AH4)/2</f>
        <v>91.631250000000009</v>
      </c>
      <c r="AJ4" s="12">
        <v>5.26</v>
      </c>
      <c r="AK4" s="15">
        <v>6.71</v>
      </c>
      <c r="AL4" s="14">
        <f>(AJ4^2*AK4)/2</f>
        <v>92.824797999999987</v>
      </c>
      <c r="AM4" s="12">
        <v>6.09</v>
      </c>
      <c r="AN4" s="15">
        <v>7.45</v>
      </c>
      <c r="AO4" s="14">
        <f>(AM4^2*AN4)/2</f>
        <v>138.15317249999998</v>
      </c>
      <c r="AP4" s="12">
        <v>5.43</v>
      </c>
      <c r="AQ4" s="15">
        <v>9.2899999999999991</v>
      </c>
      <c r="AR4" s="14">
        <f>(AP4^2*AQ4)/2</f>
        <v>136.95736049999996</v>
      </c>
      <c r="AS4" s="12">
        <v>4.95</v>
      </c>
      <c r="AT4" s="15">
        <v>7.9</v>
      </c>
      <c r="AU4" s="14">
        <f>(AS4^2*AT4)/2</f>
        <v>96.784875000000014</v>
      </c>
      <c r="AV4" s="12">
        <v>5.7</v>
      </c>
      <c r="AW4" s="15">
        <v>6.31</v>
      </c>
      <c r="AX4" s="14">
        <f>(AV4^2*AW4)/2</f>
        <v>102.50595</v>
      </c>
      <c r="AY4" s="12"/>
      <c r="AZ4" s="15"/>
      <c r="BA4" s="14"/>
      <c r="BB4" s="12"/>
      <c r="BC4" s="15"/>
      <c r="BD4" s="14"/>
      <c r="BE4" s="12"/>
      <c r="BF4" s="15"/>
      <c r="BG4" s="14"/>
      <c r="BH4" s="16"/>
      <c r="BI4" s="15"/>
      <c r="BJ4" s="14"/>
    </row>
    <row r="5" spans="2:62" x14ac:dyDescent="0.2">
      <c r="B5" s="17">
        <v>3</v>
      </c>
      <c r="C5" s="18">
        <v>3.56</v>
      </c>
      <c r="D5" s="19">
        <v>6.36</v>
      </c>
      <c r="E5" s="8">
        <f t="shared" ref="E5:E14" si="1">(C5^2*D5)/2</f>
        <v>40.302048000000006</v>
      </c>
      <c r="F5" s="18">
        <v>5</v>
      </c>
      <c r="G5" s="20">
        <v>8.24</v>
      </c>
      <c r="H5" s="8">
        <f t="shared" ref="H5:H14" si="2">(F5^2*G5)/2</f>
        <v>103</v>
      </c>
      <c r="I5" s="18">
        <v>3.46</v>
      </c>
      <c r="J5" s="20">
        <v>7.96</v>
      </c>
      <c r="K5" s="8">
        <f t="shared" ref="K5:K14" si="3">(I5^2*J5)/2</f>
        <v>47.646968000000001</v>
      </c>
      <c r="L5" s="18">
        <v>5.03</v>
      </c>
      <c r="M5" s="20">
        <v>7.75</v>
      </c>
      <c r="N5" s="8">
        <f t="shared" ref="N5:N14" si="4">(L5^2*M5)/2</f>
        <v>98.040987500000014</v>
      </c>
      <c r="O5" s="18">
        <v>5.04</v>
      </c>
      <c r="P5" s="20">
        <v>9.11</v>
      </c>
      <c r="Q5" s="8">
        <f t="shared" si="0"/>
        <v>115.70428800000001</v>
      </c>
      <c r="R5" s="18">
        <v>7.32</v>
      </c>
      <c r="S5" s="20">
        <v>8.52</v>
      </c>
      <c r="T5" s="8">
        <f t="shared" ref="T5:T14" si="5">(R5^2*S5)/2</f>
        <v>228.26102400000002</v>
      </c>
      <c r="U5" s="18">
        <v>6.37</v>
      </c>
      <c r="V5" s="21">
        <v>7.28</v>
      </c>
      <c r="W5" s="11">
        <f t="shared" ref="W5:W15" si="6">(U5^2*V5)/2</f>
        <v>147.699916</v>
      </c>
      <c r="X5" s="18">
        <v>6.39</v>
      </c>
      <c r="Y5" s="21">
        <v>10.85</v>
      </c>
      <c r="Z5" s="11">
        <f t="shared" ref="Z5:Z15" si="7">(X5^2*Y5)/2</f>
        <v>221.51414249999996</v>
      </c>
      <c r="AA5" s="22">
        <v>6.03</v>
      </c>
      <c r="AB5" s="23">
        <v>6.7</v>
      </c>
      <c r="AC5" s="14">
        <f t="shared" ref="AC5:AC24" si="8">(AA5^2*AB5)/2</f>
        <v>121.809015</v>
      </c>
      <c r="AD5" s="22">
        <v>6.26</v>
      </c>
      <c r="AE5" s="24">
        <v>8.36</v>
      </c>
      <c r="AF5" s="14">
        <f t="shared" ref="AF5:AF24" si="9">(AD5^2*AE5)/2</f>
        <v>163.80416799999998</v>
      </c>
      <c r="AG5" s="22">
        <v>6.29</v>
      </c>
      <c r="AH5" s="24">
        <v>11.21</v>
      </c>
      <c r="AI5" s="14">
        <f t="shared" ref="AI5:AI24" si="10">(AG5^2*AH5)/2</f>
        <v>221.75678050000005</v>
      </c>
      <c r="AJ5" s="22">
        <v>6.5</v>
      </c>
      <c r="AK5" s="24">
        <v>8.94</v>
      </c>
      <c r="AL5" s="14">
        <f t="shared" ref="AL5:AL24" si="11">(AJ5^2*AK5)/2</f>
        <v>188.85749999999999</v>
      </c>
      <c r="AM5" s="22">
        <v>6.58</v>
      </c>
      <c r="AN5" s="24">
        <v>8.32</v>
      </c>
      <c r="AO5" s="14">
        <f t="shared" ref="AO5:AO20" si="12">(AM5^2*AN5)/2</f>
        <v>180.113024</v>
      </c>
      <c r="AP5" s="22">
        <v>4.74</v>
      </c>
      <c r="AQ5" s="24">
        <v>8.51</v>
      </c>
      <c r="AR5" s="14">
        <f t="shared" ref="AR5:AR20" si="13">(AP5^2*AQ5)/2</f>
        <v>95.599637999999999</v>
      </c>
      <c r="AS5" s="22">
        <v>4.4400000000000004</v>
      </c>
      <c r="AT5" s="24">
        <v>8.0399999999999991</v>
      </c>
      <c r="AU5" s="14">
        <f t="shared" ref="AU5:AU18" si="14">(AS5^2*AT5)/2</f>
        <v>79.248671999999999</v>
      </c>
      <c r="AV5" s="22">
        <v>6.27</v>
      </c>
      <c r="AW5" s="24">
        <v>6.67</v>
      </c>
      <c r="AX5" s="14">
        <f t="shared" ref="AX5:AX18" si="15">(AV5^2*AW5)/2</f>
        <v>131.10852149999997</v>
      </c>
      <c r="AY5" s="22">
        <v>5.0599999999999996</v>
      </c>
      <c r="AZ5" s="24">
        <v>7.41</v>
      </c>
      <c r="BA5" s="14">
        <f t="shared" ref="BA5:BA19" si="16">(AY5^2*AZ5)/2</f>
        <v>94.861337999999989</v>
      </c>
      <c r="BB5" s="22">
        <v>5.69</v>
      </c>
      <c r="BC5" s="24">
        <v>6.89</v>
      </c>
      <c r="BD5" s="14">
        <f t="shared" ref="BD5:BD20" si="17">(BB5^2*BC5)/2</f>
        <v>111.5356645</v>
      </c>
      <c r="BE5" s="22">
        <v>4.6100000000000003</v>
      </c>
      <c r="BF5" s="24">
        <v>7.52</v>
      </c>
      <c r="BG5" s="14">
        <f t="shared" ref="BG5:BG17" si="18">(BE5^2*BF5)/2</f>
        <v>79.907896000000008</v>
      </c>
      <c r="BH5" s="25">
        <v>4.8</v>
      </c>
      <c r="BI5" s="24">
        <v>6.85</v>
      </c>
      <c r="BJ5" s="14">
        <f t="shared" ref="BJ5:BJ17" si="19">(BH5^2*BI5)/2</f>
        <v>78.911999999999992</v>
      </c>
    </row>
    <row r="6" spans="2:62" x14ac:dyDescent="0.2">
      <c r="B6" s="5">
        <v>5</v>
      </c>
      <c r="C6" s="26">
        <v>4.9400000000000004</v>
      </c>
      <c r="D6" s="27">
        <v>6.89</v>
      </c>
      <c r="E6" s="8">
        <f t="shared" si="1"/>
        <v>84.070402000000016</v>
      </c>
      <c r="F6" s="26">
        <v>6.44</v>
      </c>
      <c r="G6" s="28">
        <v>8.6999999999999993</v>
      </c>
      <c r="H6" s="8">
        <f t="shared" si="2"/>
        <v>180.41016000000002</v>
      </c>
      <c r="I6" s="26">
        <v>5.51</v>
      </c>
      <c r="J6" s="28">
        <v>8</v>
      </c>
      <c r="K6" s="8">
        <f t="shared" si="3"/>
        <v>121.4404</v>
      </c>
      <c r="L6" s="26">
        <v>6.83</v>
      </c>
      <c r="M6" s="28">
        <v>9.7799999999999994</v>
      </c>
      <c r="N6" s="8">
        <f t="shared" si="4"/>
        <v>228.11312099999998</v>
      </c>
      <c r="O6" s="26">
        <v>4.5199999999999996</v>
      </c>
      <c r="P6" s="28">
        <v>10.91</v>
      </c>
      <c r="Q6" s="8">
        <f t="shared" si="0"/>
        <v>111.44783199999998</v>
      </c>
      <c r="R6" s="26">
        <v>7.41</v>
      </c>
      <c r="S6" s="28">
        <v>9.2899999999999991</v>
      </c>
      <c r="T6" s="8">
        <f t="shared" si="5"/>
        <v>255.0481245</v>
      </c>
      <c r="U6" s="26">
        <v>6.45</v>
      </c>
      <c r="V6" s="29">
        <v>8.16</v>
      </c>
      <c r="W6" s="11">
        <f t="shared" si="6"/>
        <v>169.73820000000001</v>
      </c>
      <c r="X6" s="26">
        <v>6.31</v>
      </c>
      <c r="Y6" s="29">
        <v>12.53</v>
      </c>
      <c r="Z6" s="11">
        <f t="shared" si="7"/>
        <v>249.44786649999995</v>
      </c>
      <c r="AA6" s="30">
        <v>4.6100000000000003</v>
      </c>
      <c r="AB6" s="31">
        <v>5.91</v>
      </c>
      <c r="AC6" s="14">
        <f t="shared" si="8"/>
        <v>62.79995550000001</v>
      </c>
      <c r="AD6" s="30">
        <v>5.75</v>
      </c>
      <c r="AE6" s="32">
        <v>7.87</v>
      </c>
      <c r="AF6" s="14">
        <f t="shared" si="9"/>
        <v>130.10093750000001</v>
      </c>
      <c r="AG6" s="30">
        <v>5.77</v>
      </c>
      <c r="AH6" s="32">
        <v>11.67</v>
      </c>
      <c r="AI6" s="14">
        <f t="shared" si="10"/>
        <v>194.26407149999997</v>
      </c>
      <c r="AJ6" s="30">
        <v>5.41</v>
      </c>
      <c r="AK6" s="32">
        <v>8.59</v>
      </c>
      <c r="AL6" s="14">
        <f t="shared" si="11"/>
        <v>125.7064895</v>
      </c>
      <c r="AM6" s="30">
        <v>8.94</v>
      </c>
      <c r="AN6" s="32">
        <v>9.0500000000000007</v>
      </c>
      <c r="AO6" s="14">
        <f t="shared" si="12"/>
        <v>361.65429</v>
      </c>
      <c r="AP6" s="30">
        <v>7.86</v>
      </c>
      <c r="AQ6" s="32">
        <v>8.93</v>
      </c>
      <c r="AR6" s="14">
        <f t="shared" si="13"/>
        <v>275.84591399999999</v>
      </c>
      <c r="AS6" s="30">
        <v>5.6</v>
      </c>
      <c r="AT6" s="32">
        <v>7.08</v>
      </c>
      <c r="AU6" s="14">
        <f t="shared" si="14"/>
        <v>111.01439999999998</v>
      </c>
      <c r="AV6" s="30">
        <v>6.46</v>
      </c>
      <c r="AW6" s="32">
        <v>6.5</v>
      </c>
      <c r="AX6" s="14">
        <f t="shared" si="15"/>
        <v>135.6277</v>
      </c>
      <c r="AY6" s="30">
        <v>4.1100000000000003</v>
      </c>
      <c r="AZ6" s="32">
        <v>7.07</v>
      </c>
      <c r="BA6" s="14">
        <f t="shared" si="16"/>
        <v>59.71357350000001</v>
      </c>
      <c r="BB6" s="30">
        <v>5.53</v>
      </c>
      <c r="BC6" s="32">
        <v>7.26</v>
      </c>
      <c r="BD6" s="14">
        <f t="shared" si="17"/>
        <v>111.008667</v>
      </c>
      <c r="BE6" s="30">
        <v>4.37</v>
      </c>
      <c r="BF6" s="32">
        <v>7.84</v>
      </c>
      <c r="BG6" s="14">
        <f t="shared" si="18"/>
        <v>74.859848</v>
      </c>
      <c r="BH6" s="33">
        <v>5.41</v>
      </c>
      <c r="BI6" s="32">
        <v>8.7899999999999991</v>
      </c>
      <c r="BJ6" s="14">
        <f t="shared" si="19"/>
        <v>128.63329949999999</v>
      </c>
    </row>
    <row r="7" spans="2:62" x14ac:dyDescent="0.2">
      <c r="B7" s="17">
        <v>10</v>
      </c>
      <c r="C7" s="18">
        <v>4.47</v>
      </c>
      <c r="D7" s="19">
        <v>7.05</v>
      </c>
      <c r="E7" s="8">
        <f t="shared" si="1"/>
        <v>70.432672499999995</v>
      </c>
      <c r="F7" s="18">
        <v>6.18</v>
      </c>
      <c r="G7" s="20">
        <v>9.9</v>
      </c>
      <c r="H7" s="8">
        <f t="shared" si="2"/>
        <v>189.05238</v>
      </c>
      <c r="I7" s="18">
        <v>5.45</v>
      </c>
      <c r="J7" s="20">
        <v>8.5299999999999994</v>
      </c>
      <c r="K7" s="8">
        <f t="shared" si="3"/>
        <v>126.6811625</v>
      </c>
      <c r="L7" s="18">
        <v>7.22</v>
      </c>
      <c r="M7" s="20">
        <v>10.48</v>
      </c>
      <c r="N7" s="8">
        <f t="shared" si="4"/>
        <v>273.15281600000003</v>
      </c>
      <c r="O7" s="18">
        <v>4.28</v>
      </c>
      <c r="P7" s="20">
        <v>10.5</v>
      </c>
      <c r="Q7" s="8">
        <f t="shared" si="0"/>
        <v>96.171599999999998</v>
      </c>
      <c r="R7" s="18">
        <v>7.18</v>
      </c>
      <c r="S7" s="20">
        <v>10.3</v>
      </c>
      <c r="T7" s="8">
        <f t="shared" si="5"/>
        <v>265.49486000000002</v>
      </c>
      <c r="U7" s="18">
        <v>6.58</v>
      </c>
      <c r="V7" s="21">
        <v>7.94</v>
      </c>
      <c r="W7" s="11">
        <f t="shared" si="6"/>
        <v>171.886708</v>
      </c>
      <c r="X7" s="18">
        <v>6.04</v>
      </c>
      <c r="Y7" s="21">
        <v>11.31</v>
      </c>
      <c r="Z7" s="11">
        <f t="shared" si="7"/>
        <v>206.303448</v>
      </c>
      <c r="AA7" s="22">
        <v>6.45</v>
      </c>
      <c r="AB7" s="23">
        <v>7.65</v>
      </c>
      <c r="AC7" s="14">
        <f t="shared" si="8"/>
        <v>159.12956249999999</v>
      </c>
      <c r="AD7" s="22">
        <v>6.65</v>
      </c>
      <c r="AE7" s="34">
        <v>9.5399999999999991</v>
      </c>
      <c r="AF7" s="14">
        <f t="shared" si="9"/>
        <v>210.94132500000001</v>
      </c>
      <c r="AG7" s="22">
        <v>6.63</v>
      </c>
      <c r="AH7" s="24">
        <v>9.7899999999999991</v>
      </c>
      <c r="AI7" s="14">
        <f t="shared" si="10"/>
        <v>215.16902549999998</v>
      </c>
      <c r="AJ7" s="22">
        <v>5.78</v>
      </c>
      <c r="AK7" s="24">
        <v>6.43</v>
      </c>
      <c r="AL7" s="14">
        <f t="shared" si="11"/>
        <v>107.408006</v>
      </c>
      <c r="AM7" s="22">
        <v>7.61</v>
      </c>
      <c r="AN7" s="24">
        <v>8.14</v>
      </c>
      <c r="AO7" s="14">
        <f t="shared" si="12"/>
        <v>235.70224700000003</v>
      </c>
      <c r="AP7" s="22">
        <v>8.68</v>
      </c>
      <c r="AQ7" s="24">
        <v>9.92</v>
      </c>
      <c r="AR7" s="14">
        <f t="shared" si="13"/>
        <v>373.69830400000001</v>
      </c>
      <c r="AS7" s="22">
        <v>4.95</v>
      </c>
      <c r="AT7" s="24">
        <v>7.7</v>
      </c>
      <c r="AU7" s="14">
        <f t="shared" si="14"/>
        <v>94.334625000000003</v>
      </c>
      <c r="AV7" s="22">
        <v>6.26</v>
      </c>
      <c r="AW7" s="24">
        <v>6.51</v>
      </c>
      <c r="AX7" s="14">
        <f t="shared" si="15"/>
        <v>127.55563799999999</v>
      </c>
      <c r="AY7" s="22">
        <v>4.49</v>
      </c>
      <c r="AZ7" s="24">
        <v>7.94</v>
      </c>
      <c r="BA7" s="14">
        <f t="shared" si="16"/>
        <v>80.035597000000024</v>
      </c>
      <c r="BB7" s="22">
        <v>6.61</v>
      </c>
      <c r="BC7" s="24">
        <v>7.45</v>
      </c>
      <c r="BD7" s="14">
        <f t="shared" si="17"/>
        <v>162.75307250000003</v>
      </c>
      <c r="BE7" s="22">
        <v>5.32</v>
      </c>
      <c r="BF7" s="24">
        <v>8.18</v>
      </c>
      <c r="BG7" s="14">
        <f t="shared" si="18"/>
        <v>115.756816</v>
      </c>
      <c r="BH7" s="25">
        <v>5.39</v>
      </c>
      <c r="BI7" s="24">
        <v>7.51</v>
      </c>
      <c r="BJ7" s="14">
        <f t="shared" si="19"/>
        <v>109.09063549999998</v>
      </c>
    </row>
    <row r="8" spans="2:62" x14ac:dyDescent="0.2">
      <c r="B8" s="5">
        <v>12</v>
      </c>
      <c r="C8" s="26">
        <v>4.4000000000000004</v>
      </c>
      <c r="D8" s="27">
        <v>6.34</v>
      </c>
      <c r="E8" s="8">
        <f t="shared" si="1"/>
        <v>61.371200000000009</v>
      </c>
      <c r="F8" s="26">
        <v>5.91</v>
      </c>
      <c r="G8" s="28">
        <v>9.73</v>
      </c>
      <c r="H8" s="8">
        <f t="shared" si="2"/>
        <v>169.9252065</v>
      </c>
      <c r="I8" s="26">
        <v>6.78</v>
      </c>
      <c r="J8" s="28">
        <v>8.16</v>
      </c>
      <c r="K8" s="8">
        <f t="shared" si="3"/>
        <v>187.551072</v>
      </c>
      <c r="L8" s="26">
        <v>8.2200000000000006</v>
      </c>
      <c r="M8" s="28">
        <v>9.9499999999999993</v>
      </c>
      <c r="N8" s="8">
        <f t="shared" si="4"/>
        <v>336.15279000000004</v>
      </c>
      <c r="O8" s="26">
        <v>5.16</v>
      </c>
      <c r="P8" s="28">
        <v>10.76</v>
      </c>
      <c r="Q8" s="8">
        <f t="shared" si="0"/>
        <v>143.24572800000001</v>
      </c>
      <c r="R8" s="26">
        <v>7.16</v>
      </c>
      <c r="S8" s="28">
        <v>10.19</v>
      </c>
      <c r="T8" s="8">
        <f t="shared" si="5"/>
        <v>261.19823199999996</v>
      </c>
      <c r="U8" s="26">
        <v>6.13</v>
      </c>
      <c r="V8" s="29">
        <v>7.44</v>
      </c>
      <c r="W8" s="11">
        <f t="shared" si="6"/>
        <v>139.78606800000003</v>
      </c>
      <c r="X8" s="26">
        <v>6.13</v>
      </c>
      <c r="Y8" s="29">
        <v>12.18</v>
      </c>
      <c r="Z8" s="11">
        <f t="shared" si="7"/>
        <v>228.843321</v>
      </c>
      <c r="AA8" s="30">
        <v>6.17</v>
      </c>
      <c r="AB8" s="31">
        <v>8.15</v>
      </c>
      <c r="AC8" s="14">
        <f t="shared" si="8"/>
        <v>155.13076749999999</v>
      </c>
      <c r="AD8" s="30">
        <v>6.61</v>
      </c>
      <c r="AE8" s="32">
        <v>9.39</v>
      </c>
      <c r="AF8" s="14">
        <f t="shared" si="9"/>
        <v>205.13440950000003</v>
      </c>
      <c r="AG8" s="30">
        <v>6.72</v>
      </c>
      <c r="AH8" s="32">
        <v>11.01</v>
      </c>
      <c r="AI8" s="14">
        <f t="shared" si="10"/>
        <v>248.59699199999997</v>
      </c>
      <c r="AJ8" s="30">
        <v>6.5</v>
      </c>
      <c r="AK8" s="32">
        <v>7.49</v>
      </c>
      <c r="AL8" s="14">
        <f t="shared" si="11"/>
        <v>158.22624999999999</v>
      </c>
      <c r="AM8" s="30">
        <v>5.68</v>
      </c>
      <c r="AN8" s="32">
        <v>7.53</v>
      </c>
      <c r="AO8" s="14">
        <f t="shared" si="12"/>
        <v>121.46793600000001</v>
      </c>
      <c r="AP8" s="30">
        <v>7.22</v>
      </c>
      <c r="AQ8" s="32">
        <v>9.43</v>
      </c>
      <c r="AR8" s="14">
        <f t="shared" si="13"/>
        <v>245.78540599999999</v>
      </c>
      <c r="AS8" s="30">
        <v>5.53</v>
      </c>
      <c r="AT8" s="32">
        <v>8.34</v>
      </c>
      <c r="AU8" s="14">
        <f t="shared" si="14"/>
        <v>127.52235300000001</v>
      </c>
      <c r="AV8" s="30">
        <v>5.53</v>
      </c>
      <c r="AW8" s="32">
        <v>6.34</v>
      </c>
      <c r="AX8" s="14">
        <f t="shared" si="15"/>
        <v>96.94145300000001</v>
      </c>
      <c r="AY8" s="30">
        <v>9.0500000000000007</v>
      </c>
      <c r="AZ8" s="32">
        <v>8.86</v>
      </c>
      <c r="BA8" s="14">
        <f t="shared" si="16"/>
        <v>362.82807500000007</v>
      </c>
      <c r="BB8" s="30">
        <v>7.8</v>
      </c>
      <c r="BC8" s="32">
        <v>9.1999999999999993</v>
      </c>
      <c r="BD8" s="14">
        <f t="shared" si="17"/>
        <v>279.86399999999998</v>
      </c>
      <c r="BE8" s="30">
        <v>4.8099999999999996</v>
      </c>
      <c r="BF8" s="32">
        <v>6.2</v>
      </c>
      <c r="BG8" s="14">
        <f t="shared" si="18"/>
        <v>71.721909999999994</v>
      </c>
      <c r="BH8" s="33">
        <v>8.26</v>
      </c>
      <c r="BI8" s="32">
        <v>10.71</v>
      </c>
      <c r="BJ8" s="14">
        <f t="shared" si="19"/>
        <v>365.35879799999998</v>
      </c>
    </row>
    <row r="9" spans="2:62" x14ac:dyDescent="0.2">
      <c r="B9" s="17">
        <v>14</v>
      </c>
      <c r="C9" s="18">
        <v>6.42</v>
      </c>
      <c r="D9" s="19">
        <v>4.96</v>
      </c>
      <c r="E9" s="8">
        <f t="shared" si="1"/>
        <v>102.216672</v>
      </c>
      <c r="F9" s="18">
        <v>6.72</v>
      </c>
      <c r="G9" s="20">
        <v>10.08</v>
      </c>
      <c r="H9" s="8">
        <f t="shared" si="2"/>
        <v>227.59833599999996</v>
      </c>
      <c r="I9" s="18">
        <v>6.2</v>
      </c>
      <c r="J9" s="20">
        <v>8.4499999999999993</v>
      </c>
      <c r="K9" s="8">
        <f t="shared" si="3"/>
        <v>162.40900000000002</v>
      </c>
      <c r="L9" s="18">
        <v>8.27</v>
      </c>
      <c r="M9" s="20">
        <v>11</v>
      </c>
      <c r="N9" s="8">
        <f t="shared" si="4"/>
        <v>376.16094999999996</v>
      </c>
      <c r="O9" s="18">
        <v>6.15</v>
      </c>
      <c r="P9" s="20">
        <v>13.25</v>
      </c>
      <c r="Q9" s="8">
        <f t="shared" si="0"/>
        <v>250.57406250000003</v>
      </c>
      <c r="R9" s="18">
        <v>9.59</v>
      </c>
      <c r="S9" s="20">
        <v>11.09</v>
      </c>
      <c r="T9" s="8">
        <f t="shared" si="5"/>
        <v>509.96311449999996</v>
      </c>
      <c r="U9" s="18">
        <v>7.32</v>
      </c>
      <c r="V9" s="21">
        <v>8.7899999999999991</v>
      </c>
      <c r="W9" s="11">
        <f t="shared" si="6"/>
        <v>235.49464800000001</v>
      </c>
      <c r="X9" s="18">
        <v>6.04</v>
      </c>
      <c r="Y9" s="21">
        <v>12.65</v>
      </c>
      <c r="Z9" s="11">
        <f t="shared" si="7"/>
        <v>230.74612000000002</v>
      </c>
      <c r="AA9" s="22">
        <v>8.0399999999999991</v>
      </c>
      <c r="AB9" s="23">
        <v>8.81</v>
      </c>
      <c r="AC9" s="14">
        <f t="shared" si="8"/>
        <v>284.74624799999992</v>
      </c>
      <c r="AD9" s="22">
        <v>7.56</v>
      </c>
      <c r="AE9" s="24">
        <v>9.27</v>
      </c>
      <c r="AF9" s="14">
        <f t="shared" si="9"/>
        <v>264.90693599999997</v>
      </c>
      <c r="AG9" s="22">
        <v>6.37</v>
      </c>
      <c r="AH9" s="24">
        <v>8.58</v>
      </c>
      <c r="AI9" s="14">
        <f t="shared" si="10"/>
        <v>174.07490100000001</v>
      </c>
      <c r="AJ9" s="22">
        <v>6.65</v>
      </c>
      <c r="AK9" s="24">
        <v>7.53</v>
      </c>
      <c r="AL9" s="14">
        <f t="shared" si="11"/>
        <v>166.49771250000001</v>
      </c>
      <c r="AM9" s="22">
        <v>5.76</v>
      </c>
      <c r="AN9" s="24">
        <v>8.23</v>
      </c>
      <c r="AO9" s="14">
        <f t="shared" si="12"/>
        <v>136.525824</v>
      </c>
      <c r="AP9" s="22">
        <v>7.21</v>
      </c>
      <c r="AQ9" s="24">
        <v>10.02</v>
      </c>
      <c r="AR9" s="14">
        <f t="shared" si="13"/>
        <v>260.44034099999999</v>
      </c>
      <c r="AS9" s="22">
        <v>5.86</v>
      </c>
      <c r="AT9" s="24">
        <v>6.75</v>
      </c>
      <c r="AU9" s="14">
        <f t="shared" si="14"/>
        <v>115.89615000000002</v>
      </c>
      <c r="AV9" s="22">
        <v>7.5</v>
      </c>
      <c r="AW9" s="24">
        <v>7.73</v>
      </c>
      <c r="AX9" s="14">
        <f t="shared" si="15"/>
        <v>217.40625</v>
      </c>
      <c r="AY9" s="22">
        <v>7.41</v>
      </c>
      <c r="AZ9" s="24">
        <v>11.78</v>
      </c>
      <c r="BA9" s="14">
        <f t="shared" si="16"/>
        <v>323.40870899999999</v>
      </c>
      <c r="BB9" s="22">
        <v>7.11</v>
      </c>
      <c r="BC9" s="24">
        <v>8.83</v>
      </c>
      <c r="BD9" s="14">
        <f t="shared" si="17"/>
        <v>223.1875215</v>
      </c>
      <c r="BE9" s="22">
        <v>4.2699999999999996</v>
      </c>
      <c r="BF9" s="24">
        <v>6.03</v>
      </c>
      <c r="BG9" s="14">
        <f t="shared" si="18"/>
        <v>54.972193499999996</v>
      </c>
      <c r="BH9" s="25">
        <v>7.07</v>
      </c>
      <c r="BI9" s="24">
        <v>9.4499999999999993</v>
      </c>
      <c r="BJ9" s="14">
        <f t="shared" si="19"/>
        <v>236.1786525</v>
      </c>
    </row>
    <row r="10" spans="2:62" x14ac:dyDescent="0.2">
      <c r="B10" s="5">
        <v>17</v>
      </c>
      <c r="C10" s="26">
        <v>6.42</v>
      </c>
      <c r="D10" s="27">
        <v>7.2</v>
      </c>
      <c r="E10" s="8">
        <f t="shared" si="1"/>
        <v>148.37904</v>
      </c>
      <c r="F10" s="26">
        <v>7.64</v>
      </c>
      <c r="G10" s="28">
        <v>11.33</v>
      </c>
      <c r="H10" s="8">
        <f t="shared" si="2"/>
        <v>330.66378400000002</v>
      </c>
      <c r="I10" s="26">
        <v>7.29</v>
      </c>
      <c r="J10" s="28">
        <v>8.82</v>
      </c>
      <c r="K10" s="8">
        <f t="shared" si="3"/>
        <v>234.36548100000002</v>
      </c>
      <c r="L10" s="26">
        <v>9.4</v>
      </c>
      <c r="M10" s="28">
        <v>12.32</v>
      </c>
      <c r="N10" s="8">
        <f t="shared" si="4"/>
        <v>544.2976000000001</v>
      </c>
      <c r="O10" s="26">
        <v>7.92</v>
      </c>
      <c r="P10" s="28">
        <v>12.65</v>
      </c>
      <c r="Q10" s="8">
        <f t="shared" si="0"/>
        <v>396.74448000000001</v>
      </c>
      <c r="R10" s="26">
        <v>9.19</v>
      </c>
      <c r="S10" s="28">
        <v>11.3</v>
      </c>
      <c r="T10" s="8">
        <f t="shared" si="5"/>
        <v>477.176965</v>
      </c>
      <c r="U10" s="26">
        <v>8.09</v>
      </c>
      <c r="V10" s="29">
        <v>8.17</v>
      </c>
      <c r="W10" s="11">
        <f t="shared" si="6"/>
        <v>267.35548849999998</v>
      </c>
      <c r="X10" s="26">
        <v>8.92</v>
      </c>
      <c r="Y10" s="29">
        <v>13.87</v>
      </c>
      <c r="Z10" s="11">
        <f t="shared" si="7"/>
        <v>551.79298399999993</v>
      </c>
      <c r="AA10" s="30">
        <v>8.68</v>
      </c>
      <c r="AB10" s="31">
        <v>9.01</v>
      </c>
      <c r="AC10" s="14">
        <f t="shared" si="8"/>
        <v>339.41751199999999</v>
      </c>
      <c r="AD10" s="30">
        <v>8.2100000000000009</v>
      </c>
      <c r="AE10" s="32">
        <v>8.58</v>
      </c>
      <c r="AF10" s="14">
        <f t="shared" si="9"/>
        <v>289.16358900000006</v>
      </c>
      <c r="AG10" s="30">
        <v>7.92</v>
      </c>
      <c r="AH10" s="32">
        <v>10.24</v>
      </c>
      <c r="AI10" s="14">
        <f t="shared" si="10"/>
        <v>321.15916800000002</v>
      </c>
      <c r="AJ10" s="30">
        <v>6.89</v>
      </c>
      <c r="AK10" s="32">
        <v>7.58</v>
      </c>
      <c r="AL10" s="14">
        <f t="shared" si="11"/>
        <v>179.91925899999998</v>
      </c>
      <c r="AM10" s="30">
        <v>7.43</v>
      </c>
      <c r="AN10" s="32">
        <v>9.6300000000000008</v>
      </c>
      <c r="AO10" s="14">
        <f t="shared" si="12"/>
        <v>265.81159350000001</v>
      </c>
      <c r="AP10" s="30">
        <v>7.7</v>
      </c>
      <c r="AQ10" s="32">
        <v>9.4600000000000009</v>
      </c>
      <c r="AR10" s="14">
        <f t="shared" si="13"/>
        <v>280.44170000000008</v>
      </c>
      <c r="AS10" s="30">
        <v>5.7</v>
      </c>
      <c r="AT10" s="32">
        <v>7.93</v>
      </c>
      <c r="AU10" s="14">
        <f t="shared" si="14"/>
        <v>128.82285000000002</v>
      </c>
      <c r="AV10" s="30">
        <v>6.9</v>
      </c>
      <c r="AW10" s="32">
        <v>9.91</v>
      </c>
      <c r="AX10" s="14">
        <f t="shared" si="15"/>
        <v>235.90755000000004</v>
      </c>
      <c r="AY10" s="30">
        <v>6.59</v>
      </c>
      <c r="AZ10" s="32">
        <v>11.43</v>
      </c>
      <c r="BA10" s="14">
        <f t="shared" si="16"/>
        <v>248.19159149999999</v>
      </c>
      <c r="BB10" s="30">
        <v>7.85</v>
      </c>
      <c r="BC10" s="32">
        <v>8.26</v>
      </c>
      <c r="BD10" s="14">
        <f t="shared" si="17"/>
        <v>254.50092499999997</v>
      </c>
      <c r="BE10" s="30">
        <v>5.45</v>
      </c>
      <c r="BF10" s="32">
        <v>5.83</v>
      </c>
      <c r="BG10" s="14">
        <f t="shared" si="18"/>
        <v>86.582787500000009</v>
      </c>
      <c r="BH10" s="33">
        <v>0</v>
      </c>
      <c r="BI10" s="32">
        <v>0</v>
      </c>
      <c r="BJ10" s="14">
        <f t="shared" si="19"/>
        <v>0</v>
      </c>
    </row>
    <row r="11" spans="2:62" x14ac:dyDescent="0.2">
      <c r="B11" s="17">
        <v>19</v>
      </c>
      <c r="C11" s="18">
        <v>6.18</v>
      </c>
      <c r="D11" s="19">
        <v>7.81</v>
      </c>
      <c r="E11" s="8">
        <f t="shared" si="1"/>
        <v>149.141322</v>
      </c>
      <c r="F11" s="18">
        <v>8.48</v>
      </c>
      <c r="G11" s="20">
        <v>14.76</v>
      </c>
      <c r="H11" s="8">
        <f t="shared" si="2"/>
        <v>530.69875200000001</v>
      </c>
      <c r="I11" s="18">
        <v>8</v>
      </c>
      <c r="J11" s="20">
        <v>11.05</v>
      </c>
      <c r="K11" s="8">
        <f t="shared" si="3"/>
        <v>353.6</v>
      </c>
      <c r="L11" s="18">
        <v>10.199999999999999</v>
      </c>
      <c r="M11" s="20">
        <v>12.67</v>
      </c>
      <c r="N11" s="8">
        <f t="shared" si="4"/>
        <v>659.09339999999997</v>
      </c>
      <c r="O11" s="18">
        <v>10.9</v>
      </c>
      <c r="P11" s="20">
        <v>15.18</v>
      </c>
      <c r="Q11" s="8">
        <f t="shared" si="0"/>
        <v>901.76790000000005</v>
      </c>
      <c r="R11" s="18">
        <v>10.23</v>
      </c>
      <c r="S11" s="20">
        <v>14.3</v>
      </c>
      <c r="T11" s="8">
        <f t="shared" si="5"/>
        <v>748.268235</v>
      </c>
      <c r="U11" s="18">
        <v>7.84</v>
      </c>
      <c r="V11" s="21">
        <v>8.16</v>
      </c>
      <c r="W11" s="11">
        <f t="shared" si="6"/>
        <v>250.77964799999998</v>
      </c>
      <c r="X11" s="18">
        <v>8.92</v>
      </c>
      <c r="Y11" s="21">
        <v>14.15</v>
      </c>
      <c r="Z11" s="11">
        <f t="shared" si="7"/>
        <v>562.93227999999999</v>
      </c>
      <c r="AA11" s="22">
        <v>6.86</v>
      </c>
      <c r="AB11" s="23">
        <v>7.96</v>
      </c>
      <c r="AC11" s="14">
        <f t="shared" si="8"/>
        <v>187.29720800000001</v>
      </c>
      <c r="AD11" s="22">
        <v>7.52</v>
      </c>
      <c r="AE11" s="24">
        <v>8.74</v>
      </c>
      <c r="AF11" s="14">
        <f>(AD11^2*AE11)/2</f>
        <v>247.125248</v>
      </c>
      <c r="AG11" s="22">
        <v>7.7</v>
      </c>
      <c r="AH11" s="24">
        <v>9.82</v>
      </c>
      <c r="AI11" s="14">
        <f t="shared" si="10"/>
        <v>291.11390000000006</v>
      </c>
      <c r="AJ11" s="22">
        <v>7.53</v>
      </c>
      <c r="AK11" s="24">
        <v>7.67</v>
      </c>
      <c r="AL11" s="14">
        <f t="shared" si="11"/>
        <v>217.44795150000002</v>
      </c>
      <c r="AM11" s="22">
        <v>5.91</v>
      </c>
      <c r="AN11" s="24">
        <v>7.84</v>
      </c>
      <c r="AO11" s="14">
        <f t="shared" si="12"/>
        <v>136.91815199999999</v>
      </c>
      <c r="AP11" s="22">
        <v>4.2699999999999996</v>
      </c>
      <c r="AQ11" s="24">
        <v>6.99</v>
      </c>
      <c r="AR11" s="14">
        <f t="shared" si="13"/>
        <v>63.723985499999991</v>
      </c>
      <c r="AS11" s="22">
        <v>4.45</v>
      </c>
      <c r="AT11" s="24">
        <v>4.47</v>
      </c>
      <c r="AU11" s="14">
        <f t="shared" si="14"/>
        <v>44.258587500000004</v>
      </c>
      <c r="AV11" s="22">
        <v>5.5</v>
      </c>
      <c r="AW11" s="24">
        <v>6.44</v>
      </c>
      <c r="AX11" s="14">
        <f t="shared" si="15"/>
        <v>97.405000000000001</v>
      </c>
      <c r="AY11" s="22">
        <v>7.32</v>
      </c>
      <c r="AZ11" s="24">
        <v>8.52</v>
      </c>
      <c r="BA11" s="14">
        <f t="shared" si="16"/>
        <v>228.26102400000002</v>
      </c>
      <c r="BB11" s="22">
        <v>6.88</v>
      </c>
      <c r="BC11" s="24">
        <v>6.69</v>
      </c>
      <c r="BD11" s="14">
        <f t="shared" si="17"/>
        <v>158.33356799999999</v>
      </c>
      <c r="BE11" s="22">
        <v>5.22</v>
      </c>
      <c r="BF11" s="24">
        <v>5.23</v>
      </c>
      <c r="BG11" s="14">
        <f t="shared" si="18"/>
        <v>71.254565999999997</v>
      </c>
      <c r="BH11" s="25">
        <v>0</v>
      </c>
      <c r="BI11" s="24">
        <v>0</v>
      </c>
      <c r="BJ11" s="14">
        <f t="shared" si="19"/>
        <v>0</v>
      </c>
    </row>
    <row r="12" spans="2:62" x14ac:dyDescent="0.2">
      <c r="B12" s="5">
        <v>21</v>
      </c>
      <c r="C12" s="26">
        <v>7.94</v>
      </c>
      <c r="D12" s="27">
        <v>8.94</v>
      </c>
      <c r="E12" s="8">
        <f t="shared" si="1"/>
        <v>281.804892</v>
      </c>
      <c r="F12" s="26">
        <v>10.199999999999999</v>
      </c>
      <c r="G12" s="28">
        <v>16</v>
      </c>
      <c r="H12" s="8">
        <f t="shared" si="2"/>
        <v>832.31999999999994</v>
      </c>
      <c r="I12" s="26">
        <v>8.33</v>
      </c>
      <c r="J12" s="28">
        <v>11.22</v>
      </c>
      <c r="K12" s="8">
        <f t="shared" si="3"/>
        <v>389.27172900000005</v>
      </c>
      <c r="L12" s="26">
        <v>12.31</v>
      </c>
      <c r="M12" s="28">
        <v>13.56</v>
      </c>
      <c r="N12" s="8">
        <f t="shared" si="4"/>
        <v>1027.4147580000001</v>
      </c>
      <c r="O12" s="26">
        <v>9.23</v>
      </c>
      <c r="P12" s="28">
        <v>13.05</v>
      </c>
      <c r="Q12" s="8">
        <f t="shared" si="0"/>
        <v>555.8836725000001</v>
      </c>
      <c r="R12" s="26">
        <v>10.85</v>
      </c>
      <c r="S12" s="28">
        <v>11.65</v>
      </c>
      <c r="T12" s="8">
        <f t="shared" si="5"/>
        <v>685.73356249999995</v>
      </c>
      <c r="U12" s="26">
        <v>9.07</v>
      </c>
      <c r="V12" s="29">
        <v>11.9</v>
      </c>
      <c r="W12" s="11">
        <f t="shared" si="6"/>
        <v>489.47615500000006</v>
      </c>
      <c r="X12" s="26">
        <v>9.8699999999999992</v>
      </c>
      <c r="Y12" s="29">
        <v>15.32</v>
      </c>
      <c r="Z12" s="11">
        <f t="shared" si="7"/>
        <v>746.21345399999984</v>
      </c>
      <c r="AA12" s="30">
        <v>6.85</v>
      </c>
      <c r="AB12" s="31">
        <v>7.53</v>
      </c>
      <c r="AC12" s="14">
        <f t="shared" si="8"/>
        <v>176.66321249999999</v>
      </c>
      <c r="AD12" s="30">
        <v>6.82</v>
      </c>
      <c r="AE12" s="32">
        <v>9.43</v>
      </c>
      <c r="AF12" s="14">
        <f t="shared" si="9"/>
        <v>219.30596600000001</v>
      </c>
      <c r="AG12" s="30">
        <v>7.85</v>
      </c>
      <c r="AH12" s="32">
        <v>10.11</v>
      </c>
      <c r="AI12" s="14">
        <f t="shared" si="10"/>
        <v>311.50173749999993</v>
      </c>
      <c r="AJ12" s="30">
        <v>6.71</v>
      </c>
      <c r="AK12" s="32">
        <v>7.61</v>
      </c>
      <c r="AL12" s="14">
        <f t="shared" si="11"/>
        <v>171.3167005</v>
      </c>
      <c r="AM12" s="30"/>
      <c r="AN12" s="32"/>
      <c r="AO12" s="14"/>
      <c r="AP12" s="30"/>
      <c r="AQ12" s="32"/>
      <c r="AR12" s="14"/>
      <c r="AS12" s="30">
        <v>4.8</v>
      </c>
      <c r="AT12" s="32">
        <v>6.02</v>
      </c>
      <c r="AU12" s="14">
        <f t="shared" si="14"/>
        <v>69.350399999999993</v>
      </c>
      <c r="AV12" s="30">
        <v>5.04</v>
      </c>
      <c r="AW12" s="32">
        <v>5.32</v>
      </c>
      <c r="AX12" s="14">
        <f t="shared" si="15"/>
        <v>67.568256000000005</v>
      </c>
      <c r="AY12" s="30">
        <v>5.87</v>
      </c>
      <c r="AZ12" s="32">
        <v>6.81</v>
      </c>
      <c r="BA12" s="14">
        <f t="shared" si="16"/>
        <v>117.32574450000001</v>
      </c>
      <c r="BB12" s="30">
        <v>5.74</v>
      </c>
      <c r="BC12" s="32">
        <v>7.15</v>
      </c>
      <c r="BD12" s="14">
        <f t="shared" si="17"/>
        <v>117.78767000000001</v>
      </c>
      <c r="BE12" s="30">
        <v>5.59</v>
      </c>
      <c r="BF12" s="32">
        <v>6.59</v>
      </c>
      <c r="BG12" s="14">
        <f t="shared" si="18"/>
        <v>102.96248949999999</v>
      </c>
      <c r="BH12" s="33">
        <v>0</v>
      </c>
      <c r="BI12" s="32">
        <v>0</v>
      </c>
      <c r="BJ12" s="14">
        <f t="shared" si="19"/>
        <v>0</v>
      </c>
    </row>
    <row r="13" spans="2:62" x14ac:dyDescent="0.2">
      <c r="B13" s="17">
        <v>24</v>
      </c>
      <c r="C13" s="18">
        <v>9.24</v>
      </c>
      <c r="D13" s="19">
        <v>10.17</v>
      </c>
      <c r="E13" s="8">
        <f t="shared" si="1"/>
        <v>434.14509600000002</v>
      </c>
      <c r="F13" s="18">
        <v>11.46</v>
      </c>
      <c r="G13" s="20">
        <v>16</v>
      </c>
      <c r="H13" s="8">
        <f t="shared" si="2"/>
        <v>1050.6528000000001</v>
      </c>
      <c r="I13" s="18">
        <v>9.51</v>
      </c>
      <c r="J13" s="20">
        <v>13.12</v>
      </c>
      <c r="K13" s="8">
        <f t="shared" si="3"/>
        <v>593.28705600000001</v>
      </c>
      <c r="L13" s="18">
        <v>12.33</v>
      </c>
      <c r="M13" s="20">
        <v>13.21</v>
      </c>
      <c r="N13" s="8">
        <f t="shared" si="4"/>
        <v>1004.1508845000001</v>
      </c>
      <c r="O13" s="18">
        <v>14.33</v>
      </c>
      <c r="P13" s="20">
        <v>15.1</v>
      </c>
      <c r="Q13" s="8">
        <f t="shared" si="0"/>
        <v>1550.3841950000001</v>
      </c>
      <c r="R13" s="18">
        <v>11.65</v>
      </c>
      <c r="S13" s="20">
        <v>12.03</v>
      </c>
      <c r="T13" s="8">
        <f t="shared" si="5"/>
        <v>816.37083749999988</v>
      </c>
      <c r="U13" s="18">
        <v>9.61</v>
      </c>
      <c r="V13" s="21">
        <v>17.05</v>
      </c>
      <c r="W13" s="11">
        <f t="shared" si="6"/>
        <v>787.30165249999993</v>
      </c>
      <c r="X13" s="18">
        <v>10.74</v>
      </c>
      <c r="Y13" s="21">
        <v>15.71</v>
      </c>
      <c r="Z13" s="11">
        <f t="shared" si="7"/>
        <v>906.05539800000008</v>
      </c>
      <c r="AA13" s="22">
        <v>7.22</v>
      </c>
      <c r="AB13" s="23">
        <v>7.72</v>
      </c>
      <c r="AC13" s="14">
        <f t="shared" si="8"/>
        <v>201.21562399999999</v>
      </c>
      <c r="AD13" s="22">
        <v>7.53</v>
      </c>
      <c r="AE13" s="24">
        <v>7.55</v>
      </c>
      <c r="AF13" s="14">
        <f t="shared" si="9"/>
        <v>214.04589750000002</v>
      </c>
      <c r="AG13" s="22">
        <v>7.64</v>
      </c>
      <c r="AH13" s="24">
        <v>10.67</v>
      </c>
      <c r="AI13" s="14">
        <f t="shared" si="10"/>
        <v>311.401816</v>
      </c>
      <c r="AJ13" s="22">
        <v>6.71</v>
      </c>
      <c r="AK13" s="24">
        <v>7.27</v>
      </c>
      <c r="AL13" s="14">
        <f t="shared" si="11"/>
        <v>163.66260349999999</v>
      </c>
      <c r="AM13" s="30">
        <v>6.35</v>
      </c>
      <c r="AN13" s="32">
        <v>7.37</v>
      </c>
      <c r="AO13" s="14">
        <f t="shared" si="12"/>
        <v>148.5884125</v>
      </c>
      <c r="AP13" s="30">
        <v>3.81</v>
      </c>
      <c r="AQ13" s="32">
        <v>4.4000000000000004</v>
      </c>
      <c r="AR13" s="14">
        <f t="shared" si="13"/>
        <v>31.935420000000001</v>
      </c>
      <c r="AS13" s="22">
        <v>5.15</v>
      </c>
      <c r="AT13" s="24">
        <v>6.65</v>
      </c>
      <c r="AU13" s="14">
        <f t="shared" si="14"/>
        <v>88.187312500000019</v>
      </c>
      <c r="AV13" s="22">
        <v>5.96</v>
      </c>
      <c r="AW13" s="24">
        <v>6.48</v>
      </c>
      <c r="AX13" s="14">
        <f t="shared" si="15"/>
        <v>115.089984</v>
      </c>
      <c r="AY13" s="22">
        <v>7.21</v>
      </c>
      <c r="AZ13" s="24">
        <v>8.24</v>
      </c>
      <c r="BA13" s="14">
        <f t="shared" si="16"/>
        <v>214.17449199999999</v>
      </c>
      <c r="BB13" s="22">
        <v>4.95</v>
      </c>
      <c r="BC13" s="24">
        <v>7.4</v>
      </c>
      <c r="BD13" s="14">
        <f t="shared" si="17"/>
        <v>90.659250000000014</v>
      </c>
      <c r="BE13" s="22">
        <v>5.19</v>
      </c>
      <c r="BF13" s="24">
        <v>7.54</v>
      </c>
      <c r="BG13" s="14">
        <f t="shared" si="18"/>
        <v>101.54909700000002</v>
      </c>
      <c r="BH13" s="25">
        <v>0</v>
      </c>
      <c r="BI13" s="24">
        <v>0</v>
      </c>
      <c r="BJ13" s="14">
        <f t="shared" si="19"/>
        <v>0</v>
      </c>
    </row>
    <row r="14" spans="2:62" x14ac:dyDescent="0.2">
      <c r="B14" s="5">
        <v>26</v>
      </c>
      <c r="C14" s="26">
        <v>12.14</v>
      </c>
      <c r="D14" s="27">
        <v>12.64</v>
      </c>
      <c r="E14" s="8">
        <f t="shared" si="1"/>
        <v>931.43907200000012</v>
      </c>
      <c r="F14" s="26">
        <v>16.350000000000001</v>
      </c>
      <c r="G14" s="28">
        <v>20.18</v>
      </c>
      <c r="H14" s="8">
        <f t="shared" si="2"/>
        <v>2697.2840250000004</v>
      </c>
      <c r="I14" s="26">
        <v>12.21</v>
      </c>
      <c r="J14" s="28">
        <v>17.399999999999999</v>
      </c>
      <c r="K14" s="8">
        <f t="shared" si="3"/>
        <v>1297.0316700000003</v>
      </c>
      <c r="L14" s="26">
        <v>16.010000000000002</v>
      </c>
      <c r="M14" s="28">
        <v>18.63</v>
      </c>
      <c r="N14" s="8">
        <f t="shared" si="4"/>
        <v>2387.6217314999999</v>
      </c>
      <c r="O14" s="26">
        <v>14.35</v>
      </c>
      <c r="P14" s="28">
        <v>15.52</v>
      </c>
      <c r="Q14" s="8">
        <f t="shared" si="0"/>
        <v>1597.9585999999999</v>
      </c>
      <c r="R14" s="26">
        <v>11.43</v>
      </c>
      <c r="S14" s="28">
        <v>14.34</v>
      </c>
      <c r="T14" s="8">
        <f t="shared" si="5"/>
        <v>936.72393299999999</v>
      </c>
      <c r="U14" s="26">
        <v>11.57</v>
      </c>
      <c r="V14" s="29">
        <v>11.75</v>
      </c>
      <c r="W14" s="11">
        <f t="shared" si="6"/>
        <v>786.45628750000003</v>
      </c>
      <c r="X14" s="26">
        <v>11.41</v>
      </c>
      <c r="Y14" s="29">
        <v>16.22</v>
      </c>
      <c r="Z14" s="11">
        <f t="shared" si="7"/>
        <v>1055.8254909999998</v>
      </c>
      <c r="AA14" s="30">
        <v>6.08</v>
      </c>
      <c r="AB14" s="31">
        <v>8.39</v>
      </c>
      <c r="AC14" s="14">
        <f t="shared" si="8"/>
        <v>155.074048</v>
      </c>
      <c r="AD14" s="30">
        <v>6.75</v>
      </c>
      <c r="AE14" s="32">
        <v>8.11</v>
      </c>
      <c r="AF14" s="14">
        <f t="shared" si="9"/>
        <v>184.75593749999999</v>
      </c>
      <c r="AG14" s="30">
        <v>6.28</v>
      </c>
      <c r="AH14" s="32">
        <v>6.88</v>
      </c>
      <c r="AI14" s="14">
        <f t="shared" si="10"/>
        <v>135.66809599999999</v>
      </c>
      <c r="AJ14" s="30">
        <v>6.18</v>
      </c>
      <c r="AK14" s="32">
        <v>8.15</v>
      </c>
      <c r="AL14" s="14">
        <f t="shared" si="11"/>
        <v>155.63403</v>
      </c>
      <c r="AM14" s="22">
        <v>6.98</v>
      </c>
      <c r="AN14" s="24">
        <v>7.5</v>
      </c>
      <c r="AO14" s="14">
        <f t="shared" si="12"/>
        <v>182.70150000000001</v>
      </c>
      <c r="AP14" s="22">
        <v>4.91</v>
      </c>
      <c r="AQ14" s="24">
        <v>6.72</v>
      </c>
      <c r="AR14" s="14">
        <f t="shared" si="13"/>
        <v>81.003215999999995</v>
      </c>
      <c r="AS14" s="30">
        <v>0</v>
      </c>
      <c r="AT14" s="32">
        <v>0</v>
      </c>
      <c r="AU14" s="14">
        <f t="shared" si="14"/>
        <v>0</v>
      </c>
      <c r="AV14" s="30">
        <v>0</v>
      </c>
      <c r="AW14" s="32">
        <v>0</v>
      </c>
      <c r="AX14" s="14">
        <f t="shared" si="15"/>
        <v>0</v>
      </c>
      <c r="AY14" s="30">
        <v>6.98</v>
      </c>
      <c r="AZ14" s="32">
        <v>7.56</v>
      </c>
      <c r="BA14" s="14">
        <f t="shared" si="16"/>
        <v>184.16311200000001</v>
      </c>
      <c r="BB14" s="30">
        <v>0</v>
      </c>
      <c r="BC14" s="32">
        <v>0</v>
      </c>
      <c r="BD14" s="14">
        <f t="shared" si="17"/>
        <v>0</v>
      </c>
      <c r="BE14" s="30">
        <v>0</v>
      </c>
      <c r="BF14" s="32">
        <v>0</v>
      </c>
      <c r="BG14" s="14">
        <f t="shared" si="18"/>
        <v>0</v>
      </c>
      <c r="BH14" s="33">
        <v>0</v>
      </c>
      <c r="BI14" s="32">
        <v>0</v>
      </c>
      <c r="BJ14" s="14">
        <f t="shared" si="19"/>
        <v>0</v>
      </c>
    </row>
    <row r="15" spans="2:62" x14ac:dyDescent="0.2">
      <c r="B15" s="17">
        <v>28</v>
      </c>
      <c r="C15" s="18"/>
      <c r="D15" s="19"/>
      <c r="E15" s="35"/>
      <c r="F15" s="18"/>
      <c r="G15" s="20"/>
      <c r="H15" s="35"/>
      <c r="I15" s="18"/>
      <c r="J15" s="20"/>
      <c r="K15" s="35"/>
      <c r="L15" s="18"/>
      <c r="M15" s="20"/>
      <c r="N15" s="35"/>
      <c r="O15" s="18"/>
      <c r="P15" s="20"/>
      <c r="Q15" s="36"/>
      <c r="R15" s="18"/>
      <c r="S15" s="20"/>
      <c r="T15" s="35"/>
      <c r="U15" s="18">
        <v>12.18</v>
      </c>
      <c r="V15" s="21">
        <v>11.14</v>
      </c>
      <c r="W15" s="11">
        <f t="shared" si="6"/>
        <v>826.32286799999997</v>
      </c>
      <c r="X15" s="18">
        <v>12.31</v>
      </c>
      <c r="Y15" s="21">
        <v>17.739999999999998</v>
      </c>
      <c r="Z15" s="11">
        <f t="shared" si="7"/>
        <v>1344.1252069999998</v>
      </c>
      <c r="AA15" s="22">
        <v>6.27</v>
      </c>
      <c r="AB15" s="23">
        <v>7.34</v>
      </c>
      <c r="AC15" s="14">
        <f t="shared" si="8"/>
        <v>144.27834299999998</v>
      </c>
      <c r="AD15" s="22">
        <v>0</v>
      </c>
      <c r="AE15" s="24">
        <v>0</v>
      </c>
      <c r="AF15" s="14">
        <f t="shared" si="9"/>
        <v>0</v>
      </c>
      <c r="AG15" s="22">
        <v>4.88</v>
      </c>
      <c r="AH15" s="24">
        <v>6.65</v>
      </c>
      <c r="AI15" s="14">
        <f t="shared" si="10"/>
        <v>79.182879999999997</v>
      </c>
      <c r="AJ15" s="22">
        <v>5.6</v>
      </c>
      <c r="AK15" s="24">
        <v>7.21</v>
      </c>
      <c r="AL15" s="14">
        <f t="shared" si="11"/>
        <v>113.05279999999999</v>
      </c>
      <c r="AM15" s="22">
        <v>0</v>
      </c>
      <c r="AN15" s="24">
        <v>0</v>
      </c>
      <c r="AO15" s="14">
        <f t="shared" si="12"/>
        <v>0</v>
      </c>
      <c r="AP15" s="22">
        <v>0</v>
      </c>
      <c r="AQ15" s="24">
        <v>0</v>
      </c>
      <c r="AR15" s="14">
        <f t="shared" si="13"/>
        <v>0</v>
      </c>
      <c r="AS15" s="22">
        <v>0</v>
      </c>
      <c r="AT15" s="24">
        <v>0</v>
      </c>
      <c r="AU15" s="14">
        <f t="shared" si="14"/>
        <v>0</v>
      </c>
      <c r="AV15" s="22">
        <v>0</v>
      </c>
      <c r="AW15" s="24">
        <v>0</v>
      </c>
      <c r="AX15" s="14">
        <f t="shared" si="15"/>
        <v>0</v>
      </c>
      <c r="AY15">
        <v>4.5599999999999996</v>
      </c>
      <c r="AZ15">
        <v>6.75</v>
      </c>
      <c r="BA15" s="14">
        <f t="shared" si="16"/>
        <v>70.178399999999996</v>
      </c>
      <c r="BB15" s="22">
        <v>0</v>
      </c>
      <c r="BC15" s="24">
        <v>0</v>
      </c>
      <c r="BD15" s="14">
        <f t="shared" si="17"/>
        <v>0</v>
      </c>
      <c r="BE15" s="22">
        <v>0</v>
      </c>
      <c r="BF15" s="24">
        <v>0</v>
      </c>
      <c r="BG15" s="14">
        <f t="shared" si="18"/>
        <v>0</v>
      </c>
      <c r="BH15" s="25">
        <v>5.68</v>
      </c>
      <c r="BI15" s="24">
        <v>8.56</v>
      </c>
      <c r="BJ15" s="14">
        <f t="shared" si="19"/>
        <v>138.08307200000002</v>
      </c>
    </row>
    <row r="16" spans="2:62" x14ac:dyDescent="0.2">
      <c r="B16" s="5">
        <v>31</v>
      </c>
      <c r="C16" s="37"/>
      <c r="D16" s="38"/>
      <c r="E16" s="39"/>
      <c r="F16" s="37"/>
      <c r="G16" s="40"/>
      <c r="H16" s="39"/>
      <c r="I16" s="37"/>
      <c r="J16" s="40"/>
      <c r="K16" s="39"/>
      <c r="L16" s="37"/>
      <c r="M16" s="40"/>
      <c r="N16" s="39"/>
      <c r="O16" s="37"/>
      <c r="P16" s="40"/>
      <c r="Q16" s="39"/>
      <c r="R16" s="37"/>
      <c r="S16" s="40"/>
      <c r="T16" s="39"/>
      <c r="U16" s="37"/>
      <c r="V16" s="41"/>
      <c r="W16" s="42"/>
      <c r="X16" s="37"/>
      <c r="Y16" s="41"/>
      <c r="Z16" s="42"/>
      <c r="AA16" s="30">
        <v>0</v>
      </c>
      <c r="AB16" s="31">
        <v>0</v>
      </c>
      <c r="AC16" s="14">
        <f t="shared" si="8"/>
        <v>0</v>
      </c>
      <c r="AD16" s="30">
        <v>0</v>
      </c>
      <c r="AE16" s="32">
        <v>0</v>
      </c>
      <c r="AF16" s="14">
        <f t="shared" si="9"/>
        <v>0</v>
      </c>
      <c r="AG16" s="30">
        <v>0</v>
      </c>
      <c r="AH16" s="32">
        <v>0</v>
      </c>
      <c r="AI16" s="14">
        <f t="shared" si="10"/>
        <v>0</v>
      </c>
      <c r="AJ16" s="30">
        <v>0</v>
      </c>
      <c r="AK16" s="32">
        <v>0</v>
      </c>
      <c r="AL16" s="14">
        <f t="shared" si="11"/>
        <v>0</v>
      </c>
      <c r="AM16" s="30">
        <v>0</v>
      </c>
      <c r="AN16" s="32">
        <v>0</v>
      </c>
      <c r="AO16" s="14">
        <f t="shared" si="12"/>
        <v>0</v>
      </c>
      <c r="AP16" s="30">
        <v>0</v>
      </c>
      <c r="AQ16" s="32">
        <v>0</v>
      </c>
      <c r="AR16" s="14">
        <f t="shared" si="13"/>
        <v>0</v>
      </c>
      <c r="AS16" s="30">
        <v>0</v>
      </c>
      <c r="AT16" s="32">
        <v>0</v>
      </c>
      <c r="AU16" s="14">
        <f t="shared" si="14"/>
        <v>0</v>
      </c>
      <c r="AV16" s="30">
        <v>0</v>
      </c>
      <c r="AW16" s="32">
        <v>0</v>
      </c>
      <c r="AX16" s="14">
        <f t="shared" si="15"/>
        <v>0</v>
      </c>
      <c r="AY16" s="30">
        <v>6.23</v>
      </c>
      <c r="AZ16" s="32">
        <v>7.02</v>
      </c>
      <c r="BA16" s="14">
        <f t="shared" si="16"/>
        <v>136.23327900000001</v>
      </c>
      <c r="BB16" s="30">
        <v>3.65</v>
      </c>
      <c r="BC16" s="32">
        <v>6.89</v>
      </c>
      <c r="BD16" s="14">
        <f t="shared" si="17"/>
        <v>45.896012499999998</v>
      </c>
      <c r="BE16" s="30">
        <v>7.26</v>
      </c>
      <c r="BF16" s="32">
        <v>8.84</v>
      </c>
      <c r="BG16" s="14">
        <f t="shared" si="18"/>
        <v>232.967592</v>
      </c>
      <c r="BH16" s="33">
        <v>7.68</v>
      </c>
      <c r="BI16" s="32">
        <v>9.56</v>
      </c>
      <c r="BJ16" s="14">
        <f t="shared" si="19"/>
        <v>281.93587200000002</v>
      </c>
    </row>
    <row r="17" spans="2:62" x14ac:dyDescent="0.2">
      <c r="B17" s="17">
        <v>33</v>
      </c>
      <c r="C17" s="43"/>
      <c r="D17" s="44"/>
      <c r="E17" s="45"/>
      <c r="F17" s="43"/>
      <c r="G17" s="46"/>
      <c r="H17" s="45"/>
      <c r="I17" s="43"/>
      <c r="J17" s="46"/>
      <c r="K17" s="45"/>
      <c r="L17" s="43"/>
      <c r="M17" s="46"/>
      <c r="N17" s="45"/>
      <c r="O17" s="43"/>
      <c r="P17" s="46"/>
      <c r="Q17" s="45"/>
      <c r="R17" s="43"/>
      <c r="S17" s="46"/>
      <c r="T17" s="45"/>
      <c r="U17" s="43"/>
      <c r="V17" s="47"/>
      <c r="W17" s="48"/>
      <c r="X17" s="43"/>
      <c r="Y17" s="47"/>
      <c r="Z17" s="48"/>
      <c r="AA17" s="22">
        <v>0</v>
      </c>
      <c r="AB17" s="23">
        <v>0</v>
      </c>
      <c r="AC17" s="14">
        <f t="shared" si="8"/>
        <v>0</v>
      </c>
      <c r="AD17" s="22">
        <v>0</v>
      </c>
      <c r="AE17" s="24">
        <v>0</v>
      </c>
      <c r="AF17" s="14">
        <f t="shared" si="9"/>
        <v>0</v>
      </c>
      <c r="AG17" s="22">
        <v>0</v>
      </c>
      <c r="AH17" s="24">
        <v>0</v>
      </c>
      <c r="AI17" s="14">
        <f t="shared" si="10"/>
        <v>0</v>
      </c>
      <c r="AJ17" s="22">
        <v>0</v>
      </c>
      <c r="AK17" s="24">
        <v>0</v>
      </c>
      <c r="AL17" s="14">
        <f t="shared" si="11"/>
        <v>0</v>
      </c>
      <c r="AM17" s="22">
        <v>0</v>
      </c>
      <c r="AN17" s="24">
        <v>0</v>
      </c>
      <c r="AO17" s="14">
        <f t="shared" si="12"/>
        <v>0</v>
      </c>
      <c r="AP17" s="22">
        <v>0</v>
      </c>
      <c r="AQ17" s="24">
        <v>0</v>
      </c>
      <c r="AR17" s="14">
        <f t="shared" si="13"/>
        <v>0</v>
      </c>
      <c r="AS17" s="22">
        <v>6.86</v>
      </c>
      <c r="AT17" s="24">
        <v>7.91</v>
      </c>
      <c r="AU17" s="14">
        <f t="shared" si="14"/>
        <v>186.12071800000001</v>
      </c>
      <c r="AV17" s="22">
        <v>7.07</v>
      </c>
      <c r="AW17" s="24">
        <v>8.01</v>
      </c>
      <c r="AX17" s="14">
        <f t="shared" si="15"/>
        <v>200.1895245</v>
      </c>
      <c r="AY17" s="22">
        <v>9.6</v>
      </c>
      <c r="AZ17" s="24">
        <v>12.75</v>
      </c>
      <c r="BA17" s="14">
        <f t="shared" si="16"/>
        <v>587.52</v>
      </c>
      <c r="BB17" s="22">
        <v>7.98</v>
      </c>
      <c r="BC17" s="24">
        <v>8.89</v>
      </c>
      <c r="BD17" s="14">
        <f t="shared" si="17"/>
        <v>283.05937800000004</v>
      </c>
      <c r="BE17" s="22">
        <v>10.36</v>
      </c>
      <c r="BF17" s="24">
        <v>17.7</v>
      </c>
      <c r="BG17" s="14">
        <f t="shared" si="18"/>
        <v>949.86695999999984</v>
      </c>
      <c r="BH17" s="25">
        <v>8.67</v>
      </c>
      <c r="BI17" s="24">
        <v>11.11</v>
      </c>
      <c r="BJ17" s="14">
        <f t="shared" si="19"/>
        <v>417.56323949999995</v>
      </c>
    </row>
    <row r="18" spans="2:62" x14ac:dyDescent="0.2">
      <c r="B18" s="5">
        <v>35</v>
      </c>
      <c r="C18" s="37"/>
      <c r="D18" s="38"/>
      <c r="E18" s="39"/>
      <c r="F18" s="37"/>
      <c r="G18" s="40"/>
      <c r="H18" s="39"/>
      <c r="I18" s="37"/>
      <c r="J18" s="40"/>
      <c r="K18" s="39"/>
      <c r="L18" s="37"/>
      <c r="M18" s="40"/>
      <c r="N18" s="39"/>
      <c r="O18" s="37"/>
      <c r="P18" s="40"/>
      <c r="Q18" s="39"/>
      <c r="R18" s="37"/>
      <c r="S18" s="40"/>
      <c r="T18" s="39"/>
      <c r="U18" s="37"/>
      <c r="V18" s="41"/>
      <c r="W18" s="42"/>
      <c r="X18" s="37"/>
      <c r="Y18" s="41"/>
      <c r="Z18" s="42"/>
      <c r="AA18" s="30">
        <v>0</v>
      </c>
      <c r="AB18" s="31">
        <v>0</v>
      </c>
      <c r="AC18" s="14">
        <f t="shared" si="8"/>
        <v>0</v>
      </c>
      <c r="AD18" s="30">
        <v>0</v>
      </c>
      <c r="AE18" s="32">
        <v>0</v>
      </c>
      <c r="AF18" s="14">
        <f t="shared" si="9"/>
        <v>0</v>
      </c>
      <c r="AG18" s="30">
        <v>0</v>
      </c>
      <c r="AH18" s="32">
        <v>0</v>
      </c>
      <c r="AI18" s="14">
        <f t="shared" si="10"/>
        <v>0</v>
      </c>
      <c r="AJ18" s="30">
        <v>0</v>
      </c>
      <c r="AK18" s="32">
        <v>0</v>
      </c>
      <c r="AL18" s="14">
        <f t="shared" si="11"/>
        <v>0</v>
      </c>
      <c r="AM18" s="30">
        <v>5.99</v>
      </c>
      <c r="AN18" s="32">
        <v>6.12</v>
      </c>
      <c r="AO18" s="14">
        <f t="shared" si="12"/>
        <v>109.79310600000002</v>
      </c>
      <c r="AP18" s="30">
        <v>0</v>
      </c>
      <c r="AQ18" s="32">
        <v>0</v>
      </c>
      <c r="AR18" s="14">
        <f t="shared" si="13"/>
        <v>0</v>
      </c>
      <c r="AS18" s="30">
        <v>7.27</v>
      </c>
      <c r="AT18" s="32">
        <v>7.54</v>
      </c>
      <c r="AU18" s="14">
        <f t="shared" si="14"/>
        <v>199.25543299999995</v>
      </c>
      <c r="AV18" s="30">
        <v>7.68</v>
      </c>
      <c r="AW18" s="32">
        <v>8.68</v>
      </c>
      <c r="AX18" s="14">
        <f t="shared" si="15"/>
        <v>255.98361599999998</v>
      </c>
      <c r="AY18" s="30">
        <v>8.9700000000000006</v>
      </c>
      <c r="AZ18" s="32">
        <v>11.1</v>
      </c>
      <c r="BA18" s="14">
        <f t="shared" si="16"/>
        <v>446.55799500000006</v>
      </c>
      <c r="BB18" s="30">
        <v>9.19</v>
      </c>
      <c r="BC18" s="32">
        <v>10.050000000000001</v>
      </c>
      <c r="BD18" s="14">
        <f t="shared" si="17"/>
        <v>424.39190250000001</v>
      </c>
      <c r="BE18" s="30"/>
      <c r="BF18" s="32"/>
      <c r="BG18" s="33"/>
      <c r="BH18" s="33"/>
      <c r="BI18" s="32"/>
      <c r="BJ18" s="31"/>
    </row>
    <row r="19" spans="2:62" x14ac:dyDescent="0.2">
      <c r="B19" s="17">
        <v>37</v>
      </c>
      <c r="C19" s="43"/>
      <c r="D19" s="44"/>
      <c r="E19" s="45"/>
      <c r="F19" s="43"/>
      <c r="G19" s="46"/>
      <c r="H19" s="45"/>
      <c r="I19" s="43"/>
      <c r="J19" s="46"/>
      <c r="K19" s="45"/>
      <c r="L19" s="43"/>
      <c r="M19" s="46"/>
      <c r="N19" s="45"/>
      <c r="O19" s="43"/>
      <c r="P19" s="46"/>
      <c r="Q19" s="45"/>
      <c r="R19" s="43"/>
      <c r="S19" s="46"/>
      <c r="T19" s="45"/>
      <c r="U19" s="43"/>
      <c r="V19" s="47"/>
      <c r="W19" s="48"/>
      <c r="X19" s="43"/>
      <c r="Y19" s="47"/>
      <c r="Z19" s="48"/>
      <c r="AA19" s="22">
        <v>7.89</v>
      </c>
      <c r="AB19" s="23">
        <v>8.6999999999999993</v>
      </c>
      <c r="AC19" s="14">
        <f t="shared" si="8"/>
        <v>270.79663499999992</v>
      </c>
      <c r="AD19" s="22">
        <v>5.48</v>
      </c>
      <c r="AE19" s="24">
        <v>7.12</v>
      </c>
      <c r="AF19" s="14">
        <f t="shared" si="9"/>
        <v>106.90822400000002</v>
      </c>
      <c r="AG19" s="22">
        <v>6.87</v>
      </c>
      <c r="AH19" s="24">
        <v>8.9</v>
      </c>
      <c r="AI19" s="14">
        <f t="shared" si="10"/>
        <v>210.026205</v>
      </c>
      <c r="AJ19" s="22">
        <v>7.01</v>
      </c>
      <c r="AK19" s="24">
        <v>7.64</v>
      </c>
      <c r="AL19" s="14">
        <f t="shared" si="11"/>
        <v>187.71518199999997</v>
      </c>
      <c r="AM19" s="22">
        <v>9.33</v>
      </c>
      <c r="AN19" s="24">
        <v>10.36</v>
      </c>
      <c r="AO19" s="14">
        <f t="shared" si="12"/>
        <v>450.91330199999999</v>
      </c>
      <c r="AP19" s="22">
        <v>7.2</v>
      </c>
      <c r="AQ19" s="24">
        <v>8.26</v>
      </c>
      <c r="AR19" s="14">
        <f t="shared" si="13"/>
        <v>214.0992</v>
      </c>
      <c r="AS19" s="22"/>
      <c r="AT19" s="24"/>
      <c r="AU19" s="25"/>
      <c r="AV19" s="22"/>
      <c r="AW19" s="24"/>
      <c r="AX19" s="25"/>
      <c r="AY19" s="22">
        <v>10.87</v>
      </c>
      <c r="AZ19" s="24">
        <v>12.56</v>
      </c>
      <c r="BA19" s="14">
        <f t="shared" si="16"/>
        <v>742.02533199999993</v>
      </c>
      <c r="BB19" s="22">
        <v>10.23</v>
      </c>
      <c r="BC19" s="24">
        <v>10.58</v>
      </c>
      <c r="BD19" s="14">
        <f t="shared" si="17"/>
        <v>553.61384099999998</v>
      </c>
      <c r="BE19" s="22"/>
      <c r="BF19" s="24"/>
      <c r="BG19" s="25"/>
      <c r="BH19" s="25"/>
      <c r="BI19" s="24"/>
      <c r="BJ19" s="23"/>
    </row>
    <row r="20" spans="2:62" x14ac:dyDescent="0.2">
      <c r="B20" s="5">
        <v>41</v>
      </c>
      <c r="C20" s="37"/>
      <c r="D20" s="38"/>
      <c r="E20" s="39"/>
      <c r="F20" s="37"/>
      <c r="G20" s="40"/>
      <c r="H20" s="39"/>
      <c r="I20" s="37"/>
      <c r="J20" s="40"/>
      <c r="K20" s="39"/>
      <c r="L20" s="37"/>
      <c r="M20" s="40"/>
      <c r="N20" s="39"/>
      <c r="O20" s="37"/>
      <c r="P20" s="40"/>
      <c r="Q20" s="39"/>
      <c r="R20" s="37"/>
      <c r="S20" s="40"/>
      <c r="T20" s="39"/>
      <c r="U20" s="37"/>
      <c r="V20" s="41"/>
      <c r="W20" s="42"/>
      <c r="X20" s="37"/>
      <c r="Y20" s="41"/>
      <c r="Z20" s="42"/>
      <c r="AA20" s="30">
        <v>8.67</v>
      </c>
      <c r="AB20" s="31">
        <v>9.8699999999999992</v>
      </c>
      <c r="AC20" s="14">
        <f t="shared" si="8"/>
        <v>370.95852149999996</v>
      </c>
      <c r="AD20" s="30">
        <v>6.8</v>
      </c>
      <c r="AE20" s="32">
        <v>7.38</v>
      </c>
      <c r="AF20" s="14">
        <f t="shared" si="9"/>
        <v>170.62559999999999</v>
      </c>
      <c r="AG20" s="30">
        <v>7.32</v>
      </c>
      <c r="AH20" s="32">
        <v>10.210000000000001</v>
      </c>
      <c r="AI20" s="14">
        <f t="shared" si="10"/>
        <v>273.53815200000008</v>
      </c>
      <c r="AJ20" s="30">
        <v>8.4</v>
      </c>
      <c r="AK20" s="32">
        <v>8.7799999999999994</v>
      </c>
      <c r="AL20" s="14">
        <f t="shared" si="11"/>
        <v>309.75839999999999</v>
      </c>
      <c r="AM20" s="30">
        <v>10.25</v>
      </c>
      <c r="AN20" s="32">
        <v>11.35</v>
      </c>
      <c r="AO20" s="14">
        <f t="shared" si="12"/>
        <v>596.22968749999995</v>
      </c>
      <c r="AP20" s="30">
        <v>8.23</v>
      </c>
      <c r="AQ20" s="32">
        <v>9.56</v>
      </c>
      <c r="AR20" s="14">
        <f t="shared" si="13"/>
        <v>323.763262</v>
      </c>
      <c r="AS20" s="30"/>
      <c r="AT20" s="32"/>
      <c r="AU20" s="33"/>
      <c r="AV20" s="30"/>
      <c r="AW20" s="32"/>
      <c r="AX20" s="33"/>
      <c r="AY20" s="30"/>
      <c r="AZ20" s="32"/>
      <c r="BA20" s="33"/>
      <c r="BB20" s="30">
        <v>11.87</v>
      </c>
      <c r="BC20" s="32">
        <v>12.56</v>
      </c>
      <c r="BD20" s="14">
        <f t="shared" si="17"/>
        <v>884.83253200000001</v>
      </c>
      <c r="BE20" s="30"/>
      <c r="BF20" s="32"/>
      <c r="BG20" s="33"/>
      <c r="BH20" s="33"/>
      <c r="BI20" s="32"/>
      <c r="BJ20" s="31"/>
    </row>
    <row r="21" spans="2:62" x14ac:dyDescent="0.2">
      <c r="B21" s="17">
        <v>43</v>
      </c>
      <c r="C21" s="43"/>
      <c r="D21" s="44"/>
      <c r="E21" s="45"/>
      <c r="F21" s="43"/>
      <c r="G21" s="46"/>
      <c r="H21" s="45"/>
      <c r="I21" s="43"/>
      <c r="J21" s="46"/>
      <c r="K21" s="45"/>
      <c r="L21" s="43"/>
      <c r="M21" s="46"/>
      <c r="N21" s="45"/>
      <c r="O21" s="43"/>
      <c r="P21" s="46"/>
      <c r="Q21" s="45"/>
      <c r="R21" s="43"/>
      <c r="S21" s="46"/>
      <c r="T21" s="45"/>
      <c r="U21" s="43"/>
      <c r="V21" s="47"/>
      <c r="W21" s="48"/>
      <c r="X21" s="43"/>
      <c r="Y21" s="47"/>
      <c r="Z21" s="48"/>
      <c r="AA21" s="22">
        <v>8.9700000000000006</v>
      </c>
      <c r="AB21" s="23">
        <v>11.8</v>
      </c>
      <c r="AC21" s="14">
        <f t="shared" si="8"/>
        <v>474.71931000000006</v>
      </c>
      <c r="AD21" s="22">
        <v>8.69</v>
      </c>
      <c r="AE21" s="24">
        <v>8.75</v>
      </c>
      <c r="AF21" s="14">
        <f t="shared" si="9"/>
        <v>330.38293749999997</v>
      </c>
      <c r="AG21" s="22">
        <v>8.24</v>
      </c>
      <c r="AH21" s="24">
        <v>11.34</v>
      </c>
      <c r="AI21" s="14">
        <f t="shared" si="10"/>
        <v>384.97939199999996</v>
      </c>
      <c r="AJ21" s="22">
        <v>8.75</v>
      </c>
      <c r="AK21" s="24">
        <v>9.32</v>
      </c>
      <c r="AL21" s="14">
        <f t="shared" si="11"/>
        <v>356.78125</v>
      </c>
      <c r="AM21" s="22"/>
      <c r="AN21" s="24"/>
      <c r="AO21" s="25"/>
      <c r="AP21" s="22"/>
      <c r="AQ21" s="24"/>
      <c r="AR21" s="25"/>
      <c r="AS21" s="22"/>
      <c r="AT21" s="24"/>
      <c r="AU21" s="25"/>
      <c r="AV21" s="22"/>
      <c r="AW21" s="24"/>
      <c r="AX21" s="25"/>
      <c r="AY21" s="22"/>
      <c r="AZ21" s="24"/>
      <c r="BA21" s="25"/>
      <c r="BB21" s="22"/>
      <c r="BC21" s="24"/>
      <c r="BD21" s="25"/>
      <c r="BE21" s="22"/>
      <c r="BF21" s="24"/>
      <c r="BG21" s="25"/>
      <c r="BH21" s="25"/>
      <c r="BI21" s="24"/>
      <c r="BJ21" s="23"/>
    </row>
    <row r="22" spans="2:62" x14ac:dyDescent="0.2">
      <c r="B22" s="5">
        <v>45</v>
      </c>
      <c r="C22" s="37"/>
      <c r="D22" s="38"/>
      <c r="E22" s="39"/>
      <c r="F22" s="37"/>
      <c r="G22" s="40"/>
      <c r="H22" s="39"/>
      <c r="I22" s="37"/>
      <c r="J22" s="40"/>
      <c r="K22" s="39"/>
      <c r="L22" s="37"/>
      <c r="M22" s="40"/>
      <c r="N22" s="39"/>
      <c r="O22" s="37"/>
      <c r="P22" s="40"/>
      <c r="Q22" s="39"/>
      <c r="R22" s="37"/>
      <c r="S22" s="40"/>
      <c r="T22" s="39"/>
      <c r="U22" s="37"/>
      <c r="V22" s="41"/>
      <c r="W22" s="42"/>
      <c r="X22" s="37"/>
      <c r="Y22" s="41"/>
      <c r="Z22" s="42"/>
      <c r="AA22" s="30">
        <v>9.76</v>
      </c>
      <c r="AB22" s="31">
        <v>15.7</v>
      </c>
      <c r="AC22" s="14">
        <f t="shared" si="8"/>
        <v>747.77215999999999</v>
      </c>
      <c r="AD22" s="30">
        <v>10.65</v>
      </c>
      <c r="AE22" s="32">
        <v>10.85</v>
      </c>
      <c r="AF22" s="14">
        <f t="shared" si="9"/>
        <v>615.31706250000002</v>
      </c>
      <c r="AG22" s="30">
        <v>9.57</v>
      </c>
      <c r="AH22" s="32">
        <v>14.12</v>
      </c>
      <c r="AI22" s="14">
        <f t="shared" si="10"/>
        <v>646.58939399999997</v>
      </c>
      <c r="AJ22" s="30">
        <v>9.5399999999999991</v>
      </c>
      <c r="AK22" s="32">
        <v>10.87</v>
      </c>
      <c r="AL22" s="14">
        <f t="shared" si="11"/>
        <v>494.64804599999991</v>
      </c>
      <c r="AM22" s="30"/>
      <c r="AN22" s="32"/>
      <c r="AO22" s="33"/>
      <c r="AP22" s="30"/>
      <c r="AQ22" s="32"/>
      <c r="AR22" s="33"/>
      <c r="AS22" s="30"/>
      <c r="AT22" s="32"/>
      <c r="AU22" s="33"/>
      <c r="AV22" s="30"/>
      <c r="AW22" s="32"/>
      <c r="AX22" s="33"/>
      <c r="AY22" s="30"/>
      <c r="AZ22" s="32"/>
      <c r="BA22" s="33"/>
      <c r="BB22" s="30"/>
      <c r="BC22" s="32"/>
      <c r="BD22" s="33"/>
      <c r="BE22" s="30"/>
      <c r="BF22" s="32"/>
      <c r="BG22" s="33"/>
      <c r="BH22" s="33"/>
      <c r="BI22" s="32"/>
      <c r="BJ22" s="31"/>
    </row>
    <row r="23" spans="2:62" x14ac:dyDescent="0.2">
      <c r="B23" s="17">
        <v>48</v>
      </c>
      <c r="C23" s="43"/>
      <c r="D23" s="44"/>
      <c r="E23" s="45"/>
      <c r="F23" s="43"/>
      <c r="G23" s="46"/>
      <c r="H23" s="45"/>
      <c r="I23" s="43"/>
      <c r="J23" s="46"/>
      <c r="K23" s="45"/>
      <c r="L23" s="43"/>
      <c r="M23" s="46"/>
      <c r="N23" s="45"/>
      <c r="O23" s="43"/>
      <c r="P23" s="46"/>
      <c r="Q23" s="45"/>
      <c r="R23" s="43"/>
      <c r="S23" s="46"/>
      <c r="T23" s="45"/>
      <c r="U23" s="43"/>
      <c r="V23" s="47"/>
      <c r="W23" s="48"/>
      <c r="X23" s="43"/>
      <c r="Y23" s="47"/>
      <c r="Z23" s="48"/>
      <c r="AA23" s="22">
        <v>11.47</v>
      </c>
      <c r="AB23" s="23">
        <v>16.89</v>
      </c>
      <c r="AC23" s="14">
        <f t="shared" si="8"/>
        <v>1111.0318005000001</v>
      </c>
      <c r="AD23" s="22">
        <v>11.87</v>
      </c>
      <c r="AE23" s="24">
        <v>12.5</v>
      </c>
      <c r="AF23" s="14">
        <f t="shared" si="9"/>
        <v>880.60562499999992</v>
      </c>
      <c r="AG23" s="22">
        <v>11.57</v>
      </c>
      <c r="AH23" s="24">
        <v>16.07</v>
      </c>
      <c r="AI23" s="14">
        <f t="shared" si="10"/>
        <v>1075.6044715</v>
      </c>
      <c r="AJ23" s="22">
        <v>9.8699999999999992</v>
      </c>
      <c r="AK23" s="24">
        <v>11.5</v>
      </c>
      <c r="AL23" s="14">
        <f t="shared" si="11"/>
        <v>560.14717499999995</v>
      </c>
      <c r="AM23" s="22"/>
      <c r="AN23" s="24"/>
      <c r="AO23" s="25"/>
      <c r="AP23" s="22"/>
      <c r="AQ23" s="24"/>
      <c r="AR23" s="25"/>
      <c r="AS23" s="22"/>
      <c r="AT23" s="24"/>
      <c r="AU23" s="25"/>
      <c r="AV23" s="22"/>
      <c r="AW23" s="24"/>
      <c r="AX23" s="25"/>
      <c r="AY23" s="22"/>
      <c r="AZ23" s="24"/>
      <c r="BA23" s="25"/>
      <c r="BB23" s="22"/>
      <c r="BC23" s="24"/>
      <c r="BD23" s="25"/>
      <c r="BE23" s="22"/>
      <c r="BF23" s="24"/>
      <c r="BG23" s="25"/>
      <c r="BH23" s="25"/>
      <c r="BI23" s="24"/>
      <c r="BJ23" s="23"/>
    </row>
    <row r="24" spans="2:62" ht="17" thickBot="1" x14ac:dyDescent="0.25">
      <c r="B24" s="49">
        <v>50</v>
      </c>
      <c r="C24" s="50"/>
      <c r="D24" s="51"/>
      <c r="E24" s="52"/>
      <c r="F24" s="50"/>
      <c r="G24" s="53"/>
      <c r="H24" s="52"/>
      <c r="I24" s="50"/>
      <c r="J24" s="53"/>
      <c r="K24" s="52"/>
      <c r="L24" s="50"/>
      <c r="M24" s="53"/>
      <c r="N24" s="52"/>
      <c r="O24" s="50"/>
      <c r="P24" s="53"/>
      <c r="Q24" s="52"/>
      <c r="R24" s="50"/>
      <c r="S24" s="53"/>
      <c r="T24" s="52"/>
      <c r="U24" s="50"/>
      <c r="V24" s="54"/>
      <c r="W24" s="55"/>
      <c r="X24" s="50"/>
      <c r="Y24" s="54"/>
      <c r="Z24" s="55"/>
      <c r="AA24" s="56">
        <v>14.68</v>
      </c>
      <c r="AB24" s="57">
        <v>17.61</v>
      </c>
      <c r="AC24" s="14">
        <f t="shared" si="8"/>
        <v>1897.4986319999998</v>
      </c>
      <c r="AD24" s="56">
        <v>13.02</v>
      </c>
      <c r="AE24" s="58">
        <v>14.12</v>
      </c>
      <c r="AF24" s="14">
        <f t="shared" si="9"/>
        <v>1196.8140239999998</v>
      </c>
      <c r="AG24" s="56">
        <v>12.13</v>
      </c>
      <c r="AH24" s="58">
        <v>18.12</v>
      </c>
      <c r="AI24" s="14">
        <f t="shared" si="10"/>
        <v>1333.0603140000003</v>
      </c>
      <c r="AJ24" s="56">
        <v>10.119999999999999</v>
      </c>
      <c r="AK24" s="58">
        <v>12.66</v>
      </c>
      <c r="AL24" s="14">
        <f t="shared" si="11"/>
        <v>648.28315199999997</v>
      </c>
      <c r="AM24" s="56"/>
      <c r="AN24" s="58"/>
      <c r="AO24" s="59"/>
      <c r="AP24" s="56"/>
      <c r="AQ24" s="58"/>
      <c r="AR24" s="59"/>
      <c r="AS24" s="56"/>
      <c r="AT24" s="58"/>
      <c r="AU24" s="59"/>
      <c r="AV24" s="56"/>
      <c r="AW24" s="58"/>
      <c r="AX24" s="59"/>
      <c r="AY24" s="56"/>
      <c r="AZ24" s="58"/>
      <c r="BA24" s="59"/>
      <c r="BB24" s="56"/>
      <c r="BC24" s="58"/>
      <c r="BD24" s="59"/>
      <c r="BE24" s="56"/>
      <c r="BF24" s="58"/>
      <c r="BG24" s="59"/>
      <c r="BH24" s="59"/>
      <c r="BI24" s="58"/>
      <c r="BJ24" s="57"/>
    </row>
  </sheetData>
  <mergeCells count="22">
    <mergeCell ref="C1:Z1"/>
    <mergeCell ref="AA1:BJ1"/>
    <mergeCell ref="C2:E2"/>
    <mergeCell ref="F2:H2"/>
    <mergeCell ref="I2:K2"/>
    <mergeCell ref="L2:N2"/>
    <mergeCell ref="O2:Q2"/>
    <mergeCell ref="R2:T2"/>
    <mergeCell ref="U2:W2"/>
    <mergeCell ref="X2:Z2"/>
    <mergeCell ref="BH2:BJ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Sardanyés</dc:creator>
  <cp:lastModifiedBy>Josep Sardanyés</cp:lastModifiedBy>
  <dcterms:created xsi:type="dcterms:W3CDTF">2026-06-14T10:10:04Z</dcterms:created>
  <dcterms:modified xsi:type="dcterms:W3CDTF">2026-06-15T14:22:39Z</dcterms:modified>
</cp:coreProperties>
</file>